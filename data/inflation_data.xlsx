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ong/Dropbox/Independent Research/Matt Ong - Inflation from Covid project/"/>
    </mc:Choice>
  </mc:AlternateContent>
  <xr:revisionPtr revIDLastSave="0" documentId="8_{DB8C3D8C-9CEA-3544-8CC7-212BC8C4579C}" xr6:coauthVersionLast="47" xr6:coauthVersionMax="47" xr10:uidLastSave="{00000000-0000-0000-0000-000000000000}"/>
  <bookViews>
    <workbookView xWindow="0" yWindow="500" windowWidth="28800" windowHeight="16300" activeTab="5" xr2:uid="{00000000-000D-0000-FFFF-FFFF00000000}"/>
  </bookViews>
  <sheets>
    <sheet name="Quarterly data" sheetId="5" r:id="rId1"/>
    <sheet name="Code Book" sheetId="3" r:id="rId2"/>
    <sheet name="M1" sheetId="6" r:id="rId3"/>
    <sheet name="M2" sheetId="7" r:id="rId4"/>
    <sheet name="M3" sheetId="9" r:id="rId5"/>
    <sheet name="Yellen" sheetId="10" r:id="rId6"/>
    <sheet name="Step 3" sheetId="8" r:id="rId7"/>
  </sheets>
  <definedNames>
    <definedName name="_xlnm.Print_Area" localSheetId="1">'Code Book'!$A$1:$E$27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3" i="7" l="1"/>
  <c r="L101" i="7"/>
  <c r="L99" i="7"/>
  <c r="L97" i="7"/>
  <c r="L95" i="7"/>
  <c r="L93" i="7"/>
  <c r="L91" i="7"/>
  <c r="L89" i="7"/>
  <c r="L87" i="7"/>
  <c r="L85" i="7"/>
  <c r="L83" i="7"/>
  <c r="L81" i="7"/>
  <c r="L79" i="7"/>
  <c r="L77" i="7"/>
  <c r="L75" i="7"/>
  <c r="L73" i="7"/>
  <c r="L71" i="7"/>
  <c r="L69" i="7"/>
  <c r="L67" i="7"/>
  <c r="L65" i="7"/>
  <c r="L63" i="7"/>
  <c r="L61" i="7"/>
  <c r="L59" i="7"/>
  <c r="L57" i="7"/>
  <c r="L55" i="7"/>
  <c r="L53" i="7"/>
  <c r="L51" i="7"/>
  <c r="L49" i="7"/>
  <c r="L47" i="7"/>
  <c r="L45" i="7"/>
  <c r="L43" i="7"/>
  <c r="L41" i="7"/>
  <c r="L39" i="7"/>
  <c r="L37" i="7"/>
  <c r="L35" i="7"/>
  <c r="L33" i="7"/>
  <c r="L31" i="7"/>
  <c r="L29" i="7"/>
  <c r="L27" i="7"/>
  <c r="L25" i="7"/>
  <c r="L23" i="7"/>
  <c r="L21" i="7"/>
  <c r="L19" i="7"/>
  <c r="L17" i="7"/>
  <c r="L15" i="7"/>
  <c r="L13" i="7"/>
  <c r="L11" i="7"/>
  <c r="L10" i="7"/>
  <c r="L9" i="7"/>
  <c r="L7" i="7"/>
  <c r="L5" i="7"/>
  <c r="L3" i="7"/>
  <c r="L2" i="7"/>
  <c r="T101" i="10"/>
  <c r="S101" i="10"/>
  <c r="R101" i="10"/>
  <c r="Q101" i="10"/>
  <c r="P101" i="10"/>
  <c r="O101" i="10"/>
  <c r="M101" i="10"/>
  <c r="L101" i="10"/>
  <c r="T100" i="10"/>
  <c r="S100" i="10"/>
  <c r="R100" i="10"/>
  <c r="Q100" i="10"/>
  <c r="P100" i="10"/>
  <c r="O100" i="10"/>
  <c r="M100" i="10"/>
  <c r="L100" i="10"/>
  <c r="T99" i="10"/>
  <c r="S99" i="10"/>
  <c r="R99" i="10"/>
  <c r="Q99" i="10"/>
  <c r="P99" i="10"/>
  <c r="O99" i="10"/>
  <c r="M99" i="10"/>
  <c r="L99" i="10"/>
  <c r="T98" i="10"/>
  <c r="S98" i="10"/>
  <c r="R98" i="10"/>
  <c r="Q98" i="10"/>
  <c r="P98" i="10"/>
  <c r="O98" i="10"/>
  <c r="M98" i="10"/>
  <c r="L98" i="10"/>
  <c r="T97" i="10"/>
  <c r="S97" i="10"/>
  <c r="R97" i="10"/>
  <c r="Q97" i="10"/>
  <c r="P97" i="10"/>
  <c r="O97" i="10"/>
  <c r="M97" i="10"/>
  <c r="L97" i="10"/>
  <c r="T96" i="10"/>
  <c r="S96" i="10"/>
  <c r="R96" i="10"/>
  <c r="Q96" i="10"/>
  <c r="P96" i="10"/>
  <c r="O96" i="10"/>
  <c r="M96" i="10"/>
  <c r="L96" i="10"/>
  <c r="T95" i="10"/>
  <c r="S95" i="10"/>
  <c r="R95" i="10"/>
  <c r="Q95" i="10"/>
  <c r="P95" i="10"/>
  <c r="O95" i="10"/>
  <c r="M95" i="10"/>
  <c r="L95" i="10"/>
  <c r="T94" i="10"/>
  <c r="S94" i="10"/>
  <c r="R94" i="10"/>
  <c r="Q94" i="10"/>
  <c r="P94" i="10"/>
  <c r="O94" i="10"/>
  <c r="M94" i="10"/>
  <c r="L94" i="10"/>
  <c r="T93" i="10"/>
  <c r="S93" i="10"/>
  <c r="R93" i="10"/>
  <c r="Q93" i="10"/>
  <c r="P93" i="10"/>
  <c r="O93" i="10"/>
  <c r="M93" i="10"/>
  <c r="L93" i="10"/>
  <c r="T92" i="10"/>
  <c r="S92" i="10"/>
  <c r="R92" i="10"/>
  <c r="Q92" i="10"/>
  <c r="P92" i="10"/>
  <c r="O92" i="10"/>
  <c r="M92" i="10"/>
  <c r="L92" i="10"/>
  <c r="T91" i="10"/>
  <c r="S91" i="10"/>
  <c r="R91" i="10"/>
  <c r="Q91" i="10"/>
  <c r="P91" i="10"/>
  <c r="O91" i="10"/>
  <c r="M91" i="10"/>
  <c r="L91" i="10"/>
  <c r="T90" i="10"/>
  <c r="S90" i="10"/>
  <c r="R90" i="10"/>
  <c r="Q90" i="10"/>
  <c r="P90" i="10"/>
  <c r="O90" i="10"/>
  <c r="M90" i="10"/>
  <c r="L90" i="10"/>
  <c r="T89" i="10"/>
  <c r="S89" i="10"/>
  <c r="R89" i="10"/>
  <c r="Q89" i="10"/>
  <c r="P89" i="10"/>
  <c r="O89" i="10"/>
  <c r="M89" i="10"/>
  <c r="L89" i="10"/>
  <c r="T88" i="10"/>
  <c r="S88" i="10"/>
  <c r="R88" i="10"/>
  <c r="Q88" i="10"/>
  <c r="P88" i="10"/>
  <c r="O88" i="10"/>
  <c r="M88" i="10"/>
  <c r="L88" i="10"/>
  <c r="T87" i="10"/>
  <c r="S87" i="10"/>
  <c r="R87" i="10"/>
  <c r="Q87" i="10"/>
  <c r="P87" i="10"/>
  <c r="O87" i="10"/>
  <c r="M87" i="10"/>
  <c r="L87" i="10"/>
  <c r="T86" i="10"/>
  <c r="S86" i="10"/>
  <c r="R86" i="10"/>
  <c r="Q86" i="10"/>
  <c r="P86" i="10"/>
  <c r="O86" i="10"/>
  <c r="M86" i="10"/>
  <c r="L86" i="10"/>
  <c r="T85" i="10"/>
  <c r="S85" i="10"/>
  <c r="R85" i="10"/>
  <c r="Q85" i="10"/>
  <c r="P85" i="10"/>
  <c r="O85" i="10"/>
  <c r="M85" i="10"/>
  <c r="L85" i="10"/>
  <c r="T84" i="10"/>
  <c r="S84" i="10"/>
  <c r="R84" i="10"/>
  <c r="Q84" i="10"/>
  <c r="P84" i="10"/>
  <c r="O84" i="10"/>
  <c r="M84" i="10"/>
  <c r="L84" i="10"/>
  <c r="T83" i="10"/>
  <c r="S83" i="10"/>
  <c r="R83" i="10"/>
  <c r="Q83" i="10"/>
  <c r="P83" i="10"/>
  <c r="O83" i="10"/>
  <c r="M83" i="10"/>
  <c r="L83" i="10"/>
  <c r="T82" i="10"/>
  <c r="S82" i="10"/>
  <c r="R82" i="10"/>
  <c r="Q82" i="10"/>
  <c r="P82" i="10"/>
  <c r="O82" i="10"/>
  <c r="M82" i="10"/>
  <c r="L82" i="10"/>
  <c r="T81" i="10"/>
  <c r="S81" i="10"/>
  <c r="R81" i="10"/>
  <c r="Q81" i="10"/>
  <c r="P81" i="10"/>
  <c r="O81" i="10"/>
  <c r="M81" i="10"/>
  <c r="L81" i="10"/>
  <c r="T80" i="10"/>
  <c r="S80" i="10"/>
  <c r="R80" i="10"/>
  <c r="Q80" i="10"/>
  <c r="P80" i="10"/>
  <c r="O80" i="10"/>
  <c r="M80" i="10"/>
  <c r="L80" i="10"/>
  <c r="T79" i="10"/>
  <c r="S79" i="10"/>
  <c r="R79" i="10"/>
  <c r="Q79" i="10"/>
  <c r="P79" i="10"/>
  <c r="O79" i="10"/>
  <c r="M79" i="10"/>
  <c r="L79" i="10"/>
  <c r="F79" i="10"/>
  <c r="T78" i="10"/>
  <c r="S78" i="10"/>
  <c r="R78" i="10"/>
  <c r="Q78" i="10"/>
  <c r="P78" i="10"/>
  <c r="O78" i="10"/>
  <c r="M78" i="10"/>
  <c r="L78" i="10"/>
  <c r="T77" i="10"/>
  <c r="S77" i="10"/>
  <c r="R77" i="10"/>
  <c r="Q77" i="10"/>
  <c r="P77" i="10"/>
  <c r="O77" i="10"/>
  <c r="M77" i="10"/>
  <c r="L77" i="10"/>
  <c r="T76" i="10"/>
  <c r="S76" i="10"/>
  <c r="R76" i="10"/>
  <c r="Q76" i="10"/>
  <c r="P76" i="10"/>
  <c r="O76" i="10"/>
  <c r="M76" i="10"/>
  <c r="L76" i="10"/>
  <c r="T75" i="10"/>
  <c r="S75" i="10"/>
  <c r="R75" i="10"/>
  <c r="Q75" i="10"/>
  <c r="P75" i="10"/>
  <c r="O75" i="10"/>
  <c r="M75" i="10"/>
  <c r="L75" i="10"/>
  <c r="T74" i="10"/>
  <c r="S74" i="10"/>
  <c r="R74" i="10"/>
  <c r="Q74" i="10"/>
  <c r="P74" i="10"/>
  <c r="O74" i="10"/>
  <c r="M74" i="10"/>
  <c r="L74" i="10"/>
  <c r="T73" i="10"/>
  <c r="S73" i="10"/>
  <c r="R73" i="10"/>
  <c r="Q73" i="10"/>
  <c r="P73" i="10"/>
  <c r="O73" i="10"/>
  <c r="M73" i="10"/>
  <c r="L73" i="10"/>
  <c r="T72" i="10"/>
  <c r="S72" i="10"/>
  <c r="R72" i="10"/>
  <c r="Q72" i="10"/>
  <c r="P72" i="10"/>
  <c r="O72" i="10"/>
  <c r="M72" i="10"/>
  <c r="L72" i="10"/>
  <c r="T71" i="10"/>
  <c r="S71" i="10"/>
  <c r="R71" i="10"/>
  <c r="Q71" i="10"/>
  <c r="P71" i="10"/>
  <c r="O71" i="10"/>
  <c r="M71" i="10"/>
  <c r="L71" i="10"/>
  <c r="T70" i="10"/>
  <c r="S70" i="10"/>
  <c r="R70" i="10"/>
  <c r="Q70" i="10"/>
  <c r="P70" i="10"/>
  <c r="O70" i="10"/>
  <c r="M70" i="10"/>
  <c r="L70" i="10"/>
  <c r="T69" i="10"/>
  <c r="S69" i="10"/>
  <c r="R69" i="10"/>
  <c r="Q69" i="10"/>
  <c r="P69" i="10"/>
  <c r="O69" i="10"/>
  <c r="M69" i="10"/>
  <c r="L69" i="10"/>
  <c r="T68" i="10"/>
  <c r="S68" i="10"/>
  <c r="R68" i="10"/>
  <c r="Q68" i="10"/>
  <c r="P68" i="10"/>
  <c r="O68" i="10"/>
  <c r="M68" i="10"/>
  <c r="L68" i="10"/>
  <c r="T67" i="10"/>
  <c r="S67" i="10"/>
  <c r="R67" i="10"/>
  <c r="Q67" i="10"/>
  <c r="P67" i="10"/>
  <c r="O67" i="10"/>
  <c r="M67" i="10"/>
  <c r="L67" i="10"/>
  <c r="T66" i="10"/>
  <c r="S66" i="10"/>
  <c r="R66" i="10"/>
  <c r="Q66" i="10"/>
  <c r="P66" i="10"/>
  <c r="O66" i="10"/>
  <c r="M66" i="10"/>
  <c r="L66" i="10"/>
  <c r="T65" i="10"/>
  <c r="S65" i="10"/>
  <c r="R65" i="10"/>
  <c r="Q65" i="10"/>
  <c r="P65" i="10"/>
  <c r="O65" i="10"/>
  <c r="M65" i="10"/>
  <c r="L65" i="10"/>
  <c r="T64" i="10"/>
  <c r="S64" i="10"/>
  <c r="R64" i="10"/>
  <c r="Q64" i="10"/>
  <c r="P64" i="10"/>
  <c r="O64" i="10"/>
  <c r="M64" i="10"/>
  <c r="L64" i="10"/>
  <c r="T63" i="10"/>
  <c r="S63" i="10"/>
  <c r="R63" i="10"/>
  <c r="Q63" i="10"/>
  <c r="P63" i="10"/>
  <c r="O63" i="10"/>
  <c r="M63" i="10"/>
  <c r="L63" i="10"/>
  <c r="T62" i="10"/>
  <c r="S62" i="10"/>
  <c r="R62" i="10"/>
  <c r="Q62" i="10"/>
  <c r="P62" i="10"/>
  <c r="O62" i="10"/>
  <c r="M62" i="10"/>
  <c r="L62" i="10"/>
  <c r="T61" i="10"/>
  <c r="S61" i="10"/>
  <c r="R61" i="10"/>
  <c r="Q61" i="10"/>
  <c r="P61" i="10"/>
  <c r="O61" i="10"/>
  <c r="M61" i="10"/>
  <c r="L61" i="10"/>
  <c r="T60" i="10"/>
  <c r="S60" i="10"/>
  <c r="R60" i="10"/>
  <c r="Q60" i="10"/>
  <c r="P60" i="10"/>
  <c r="O60" i="10"/>
  <c r="M60" i="10"/>
  <c r="L60" i="10"/>
  <c r="T59" i="10"/>
  <c r="S59" i="10"/>
  <c r="R59" i="10"/>
  <c r="Q59" i="10"/>
  <c r="P59" i="10"/>
  <c r="O59" i="10"/>
  <c r="M59" i="10"/>
  <c r="L59" i="10"/>
  <c r="T58" i="10"/>
  <c r="S58" i="10"/>
  <c r="R58" i="10"/>
  <c r="Q58" i="10"/>
  <c r="P58" i="10"/>
  <c r="O58" i="10"/>
  <c r="M58" i="10"/>
  <c r="L58" i="10"/>
  <c r="T57" i="10"/>
  <c r="S57" i="10"/>
  <c r="R57" i="10"/>
  <c r="Q57" i="10"/>
  <c r="P57" i="10"/>
  <c r="O57" i="10"/>
  <c r="M57" i="10"/>
  <c r="L57" i="10"/>
  <c r="T56" i="10"/>
  <c r="S56" i="10"/>
  <c r="R56" i="10"/>
  <c r="Q56" i="10"/>
  <c r="P56" i="10"/>
  <c r="O56" i="10"/>
  <c r="M56" i="10"/>
  <c r="L56" i="10"/>
  <c r="T55" i="10"/>
  <c r="S55" i="10"/>
  <c r="R55" i="10"/>
  <c r="Q55" i="10"/>
  <c r="P55" i="10"/>
  <c r="O55" i="10"/>
  <c r="M55" i="10"/>
  <c r="L55" i="10"/>
  <c r="T54" i="10"/>
  <c r="S54" i="10"/>
  <c r="R54" i="10"/>
  <c r="Q54" i="10"/>
  <c r="P54" i="10"/>
  <c r="O54" i="10"/>
  <c r="M54" i="10"/>
  <c r="L54" i="10"/>
  <c r="T53" i="10"/>
  <c r="S53" i="10"/>
  <c r="R53" i="10"/>
  <c r="Q53" i="10"/>
  <c r="P53" i="10"/>
  <c r="O53" i="10"/>
  <c r="M53" i="10"/>
  <c r="L53" i="10"/>
  <c r="T52" i="10"/>
  <c r="S52" i="10"/>
  <c r="R52" i="10"/>
  <c r="Q52" i="10"/>
  <c r="P52" i="10"/>
  <c r="O52" i="10"/>
  <c r="M52" i="10"/>
  <c r="L52" i="10"/>
  <c r="T51" i="10"/>
  <c r="S51" i="10"/>
  <c r="R51" i="10"/>
  <c r="Q51" i="10"/>
  <c r="P51" i="10"/>
  <c r="O51" i="10"/>
  <c r="M51" i="10"/>
  <c r="L51" i="10"/>
  <c r="T50" i="10"/>
  <c r="S50" i="10"/>
  <c r="R50" i="10"/>
  <c r="Q50" i="10"/>
  <c r="P50" i="10"/>
  <c r="O50" i="10"/>
  <c r="M50" i="10"/>
  <c r="L50" i="10"/>
  <c r="T49" i="10"/>
  <c r="S49" i="10"/>
  <c r="R49" i="10"/>
  <c r="Q49" i="10"/>
  <c r="P49" i="10"/>
  <c r="O49" i="10"/>
  <c r="M49" i="10"/>
  <c r="L49" i="10"/>
  <c r="T48" i="10"/>
  <c r="S48" i="10"/>
  <c r="R48" i="10"/>
  <c r="Q48" i="10"/>
  <c r="P48" i="10"/>
  <c r="O48" i="10"/>
  <c r="M48" i="10"/>
  <c r="L48" i="10"/>
  <c r="T47" i="10"/>
  <c r="S47" i="10"/>
  <c r="R47" i="10"/>
  <c r="Q47" i="10"/>
  <c r="P47" i="10"/>
  <c r="O47" i="10"/>
  <c r="M47" i="10"/>
  <c r="L47" i="10"/>
  <c r="T46" i="10"/>
  <c r="S46" i="10"/>
  <c r="R46" i="10"/>
  <c r="Q46" i="10"/>
  <c r="P46" i="10"/>
  <c r="O46" i="10"/>
  <c r="M46" i="10"/>
  <c r="L46" i="10"/>
  <c r="T45" i="10"/>
  <c r="S45" i="10"/>
  <c r="R45" i="10"/>
  <c r="Q45" i="10"/>
  <c r="P45" i="10"/>
  <c r="O45" i="10"/>
  <c r="M45" i="10"/>
  <c r="L45" i="10"/>
  <c r="T44" i="10"/>
  <c r="S44" i="10"/>
  <c r="R44" i="10"/>
  <c r="Q44" i="10"/>
  <c r="P44" i="10"/>
  <c r="O44" i="10"/>
  <c r="M44" i="10"/>
  <c r="L44" i="10"/>
  <c r="T43" i="10"/>
  <c r="S43" i="10"/>
  <c r="R43" i="10"/>
  <c r="Q43" i="10"/>
  <c r="P43" i="10"/>
  <c r="O43" i="10"/>
  <c r="M43" i="10"/>
  <c r="L43" i="10"/>
  <c r="T42" i="10"/>
  <c r="S42" i="10"/>
  <c r="R42" i="10"/>
  <c r="Q42" i="10"/>
  <c r="P42" i="10"/>
  <c r="O42" i="10"/>
  <c r="M42" i="10"/>
  <c r="L42" i="10"/>
  <c r="T41" i="10"/>
  <c r="S41" i="10"/>
  <c r="R41" i="10"/>
  <c r="Q41" i="10"/>
  <c r="P41" i="10"/>
  <c r="O41" i="10"/>
  <c r="M41" i="10"/>
  <c r="L41" i="10"/>
  <c r="T40" i="10"/>
  <c r="S40" i="10"/>
  <c r="R40" i="10"/>
  <c r="Q40" i="10"/>
  <c r="P40" i="10"/>
  <c r="O40" i="10"/>
  <c r="M40" i="10"/>
  <c r="L40" i="10"/>
  <c r="T39" i="10"/>
  <c r="S39" i="10"/>
  <c r="R39" i="10"/>
  <c r="Q39" i="10"/>
  <c r="P39" i="10"/>
  <c r="O39" i="10"/>
  <c r="M39" i="10"/>
  <c r="L39" i="10"/>
  <c r="T38" i="10"/>
  <c r="S38" i="10"/>
  <c r="R38" i="10"/>
  <c r="Q38" i="10"/>
  <c r="P38" i="10"/>
  <c r="O38" i="10"/>
  <c r="M38" i="10"/>
  <c r="L38" i="10"/>
  <c r="T37" i="10"/>
  <c r="S37" i="10"/>
  <c r="R37" i="10"/>
  <c r="Q37" i="10"/>
  <c r="P37" i="10"/>
  <c r="O37" i="10"/>
  <c r="M37" i="10"/>
  <c r="L37" i="10"/>
  <c r="T36" i="10"/>
  <c r="S36" i="10"/>
  <c r="R36" i="10"/>
  <c r="Q36" i="10"/>
  <c r="P36" i="10"/>
  <c r="O36" i="10"/>
  <c r="M36" i="10"/>
  <c r="L36" i="10"/>
  <c r="T35" i="10"/>
  <c r="S35" i="10"/>
  <c r="R35" i="10"/>
  <c r="Q35" i="10"/>
  <c r="P35" i="10"/>
  <c r="O35" i="10"/>
  <c r="M35" i="10"/>
  <c r="L35" i="10"/>
  <c r="T34" i="10"/>
  <c r="S34" i="10"/>
  <c r="R34" i="10"/>
  <c r="Q34" i="10"/>
  <c r="P34" i="10"/>
  <c r="O34" i="10"/>
  <c r="M34" i="10"/>
  <c r="L34" i="10"/>
  <c r="T33" i="10"/>
  <c r="S33" i="10"/>
  <c r="R33" i="10"/>
  <c r="Q33" i="10"/>
  <c r="P33" i="10"/>
  <c r="O33" i="10"/>
  <c r="M33" i="10"/>
  <c r="L33" i="10"/>
  <c r="T32" i="10"/>
  <c r="S32" i="10"/>
  <c r="R32" i="10"/>
  <c r="Q32" i="10"/>
  <c r="P32" i="10"/>
  <c r="O32" i="10"/>
  <c r="M32" i="10"/>
  <c r="L32" i="10"/>
  <c r="T31" i="10"/>
  <c r="S31" i="10"/>
  <c r="R31" i="10"/>
  <c r="Q31" i="10"/>
  <c r="P31" i="10"/>
  <c r="O31" i="10"/>
  <c r="M31" i="10"/>
  <c r="L31" i="10"/>
  <c r="T30" i="10"/>
  <c r="S30" i="10"/>
  <c r="R30" i="10"/>
  <c r="Q30" i="10"/>
  <c r="P30" i="10"/>
  <c r="O30" i="10"/>
  <c r="M30" i="10"/>
  <c r="L30" i="10"/>
  <c r="T29" i="10"/>
  <c r="S29" i="10"/>
  <c r="R29" i="10"/>
  <c r="Q29" i="10"/>
  <c r="P29" i="10"/>
  <c r="O29" i="10"/>
  <c r="M29" i="10"/>
  <c r="L29" i="10"/>
  <c r="T28" i="10"/>
  <c r="S28" i="10"/>
  <c r="R28" i="10"/>
  <c r="Q28" i="10"/>
  <c r="P28" i="10"/>
  <c r="O28" i="10"/>
  <c r="M28" i="10"/>
  <c r="L28" i="10"/>
  <c r="T27" i="10"/>
  <c r="S27" i="10"/>
  <c r="R27" i="10"/>
  <c r="Q27" i="10"/>
  <c r="P27" i="10"/>
  <c r="O27" i="10"/>
  <c r="M27" i="10"/>
  <c r="L27" i="10"/>
  <c r="T26" i="10"/>
  <c r="S26" i="10"/>
  <c r="R26" i="10"/>
  <c r="Q26" i="10"/>
  <c r="P26" i="10"/>
  <c r="O26" i="10"/>
  <c r="M26" i="10"/>
  <c r="L26" i="10"/>
  <c r="T25" i="10"/>
  <c r="S25" i="10"/>
  <c r="R25" i="10"/>
  <c r="Q25" i="10"/>
  <c r="P25" i="10"/>
  <c r="O25" i="10"/>
  <c r="M25" i="10"/>
  <c r="L25" i="10"/>
  <c r="T24" i="10"/>
  <c r="S24" i="10"/>
  <c r="R24" i="10"/>
  <c r="Q24" i="10"/>
  <c r="P24" i="10"/>
  <c r="O24" i="10"/>
  <c r="M24" i="10"/>
  <c r="L24" i="10"/>
  <c r="T23" i="10"/>
  <c r="S23" i="10"/>
  <c r="R23" i="10"/>
  <c r="Q23" i="10"/>
  <c r="P23" i="10"/>
  <c r="O23" i="10"/>
  <c r="M23" i="10"/>
  <c r="L23" i="10"/>
  <c r="T22" i="10"/>
  <c r="S22" i="10"/>
  <c r="R22" i="10"/>
  <c r="Q22" i="10"/>
  <c r="P22" i="10"/>
  <c r="O22" i="10"/>
  <c r="M22" i="10"/>
  <c r="L22" i="10"/>
  <c r="T21" i="10"/>
  <c r="S21" i="10"/>
  <c r="R21" i="10"/>
  <c r="Q21" i="10"/>
  <c r="P21" i="10"/>
  <c r="O21" i="10"/>
  <c r="M21" i="10"/>
  <c r="L21" i="10"/>
  <c r="T20" i="10"/>
  <c r="S20" i="10"/>
  <c r="R20" i="10"/>
  <c r="Q20" i="10"/>
  <c r="P20" i="10"/>
  <c r="O20" i="10"/>
  <c r="M20" i="10"/>
  <c r="L20" i="10"/>
  <c r="T19" i="10"/>
  <c r="S19" i="10"/>
  <c r="R19" i="10"/>
  <c r="Q19" i="10"/>
  <c r="P19" i="10"/>
  <c r="O19" i="10"/>
  <c r="M19" i="10"/>
  <c r="L19" i="10"/>
  <c r="T18" i="10"/>
  <c r="S18" i="10"/>
  <c r="R18" i="10"/>
  <c r="Q18" i="10"/>
  <c r="P18" i="10"/>
  <c r="O18" i="10"/>
  <c r="M18" i="10"/>
  <c r="L18" i="10"/>
  <c r="T17" i="10"/>
  <c r="S17" i="10"/>
  <c r="R17" i="10"/>
  <c r="Q17" i="10"/>
  <c r="P17" i="10"/>
  <c r="O17" i="10"/>
  <c r="M17" i="10"/>
  <c r="L17" i="10"/>
  <c r="T16" i="10"/>
  <c r="S16" i="10"/>
  <c r="R16" i="10"/>
  <c r="Q16" i="10"/>
  <c r="P16" i="10"/>
  <c r="O16" i="10"/>
  <c r="M16" i="10"/>
  <c r="L16" i="10"/>
  <c r="T15" i="10"/>
  <c r="S15" i="10"/>
  <c r="R15" i="10"/>
  <c r="Q15" i="10"/>
  <c r="P15" i="10"/>
  <c r="O15" i="10"/>
  <c r="M15" i="10"/>
  <c r="L15" i="10"/>
  <c r="T14" i="10"/>
  <c r="S14" i="10"/>
  <c r="R14" i="10"/>
  <c r="Q14" i="10"/>
  <c r="P14" i="10"/>
  <c r="O14" i="10"/>
  <c r="M14" i="10"/>
  <c r="L14" i="10"/>
  <c r="T13" i="10"/>
  <c r="S13" i="10"/>
  <c r="R13" i="10"/>
  <c r="Q13" i="10"/>
  <c r="P13" i="10"/>
  <c r="O13" i="10"/>
  <c r="M13" i="10"/>
  <c r="L13" i="10"/>
  <c r="T12" i="10"/>
  <c r="S12" i="10"/>
  <c r="R12" i="10"/>
  <c r="Q12" i="10"/>
  <c r="P12" i="10"/>
  <c r="O12" i="10"/>
  <c r="M12" i="10"/>
  <c r="L12" i="10"/>
  <c r="T11" i="10"/>
  <c r="S11" i="10"/>
  <c r="R11" i="10"/>
  <c r="Q11" i="10"/>
  <c r="P11" i="10"/>
  <c r="O11" i="10"/>
  <c r="M11" i="10"/>
  <c r="L11" i="10"/>
  <c r="T10" i="10"/>
  <c r="S10" i="10"/>
  <c r="R10" i="10"/>
  <c r="Q10" i="10"/>
  <c r="P10" i="10"/>
  <c r="O10" i="10"/>
  <c r="M10" i="10"/>
  <c r="L10" i="10"/>
  <c r="T9" i="10"/>
  <c r="S9" i="10"/>
  <c r="R9" i="10"/>
  <c r="Q9" i="10"/>
  <c r="P9" i="10"/>
  <c r="O9" i="10"/>
  <c r="M9" i="10"/>
  <c r="L9" i="10"/>
  <c r="T8" i="10"/>
  <c r="S8" i="10"/>
  <c r="R8" i="10"/>
  <c r="Q8" i="10"/>
  <c r="P8" i="10"/>
  <c r="O8" i="10"/>
  <c r="M8" i="10"/>
  <c r="L8" i="10"/>
  <c r="T7" i="10"/>
  <c r="S7" i="10"/>
  <c r="R7" i="10"/>
  <c r="Q7" i="10"/>
  <c r="P7" i="10"/>
  <c r="O7" i="10"/>
  <c r="M7" i="10"/>
  <c r="L7" i="10"/>
  <c r="T6" i="10"/>
  <c r="S6" i="10"/>
  <c r="R6" i="10"/>
  <c r="Q6" i="10"/>
  <c r="P6" i="10"/>
  <c r="O6" i="10"/>
  <c r="M6" i="10"/>
  <c r="L6" i="10"/>
  <c r="T5" i="10"/>
  <c r="S5" i="10"/>
  <c r="R5" i="10"/>
  <c r="Q5" i="10"/>
  <c r="P5" i="10"/>
  <c r="O5" i="10"/>
  <c r="M5" i="10"/>
  <c r="L5" i="10"/>
  <c r="T4" i="10"/>
  <c r="S4" i="10"/>
  <c r="R4" i="10"/>
  <c r="Q4" i="10"/>
  <c r="P4" i="10"/>
  <c r="O4" i="10"/>
  <c r="M4" i="10"/>
  <c r="L4" i="10"/>
  <c r="T3" i="10"/>
  <c r="S3" i="10"/>
  <c r="R3" i="10"/>
  <c r="Q3" i="10"/>
  <c r="P3" i="10"/>
  <c r="O3" i="10"/>
  <c r="M3" i="10"/>
  <c r="L3" i="10"/>
  <c r="T2" i="10"/>
  <c r="S2" i="10"/>
  <c r="R2" i="10"/>
  <c r="Q2" i="10"/>
  <c r="P2" i="10"/>
  <c r="O2" i="10"/>
  <c r="M2" i="10"/>
  <c r="L2" i="10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2" i="6"/>
  <c r="AB4" i="9"/>
  <c r="AB5" i="9"/>
  <c r="AB6" i="9"/>
  <c r="AB7" i="9"/>
  <c r="AB8" i="9"/>
  <c r="AB9" i="9"/>
  <c r="AB10" i="9"/>
  <c r="AB11" i="9"/>
  <c r="AB12" i="9"/>
  <c r="AB13" i="9"/>
  <c r="AB14" i="9"/>
  <c r="AB15" i="9"/>
  <c r="AB3" i="9"/>
  <c r="R13" i="9"/>
  <c r="R14" i="9"/>
  <c r="AA10" i="9"/>
  <c r="AA9" i="9"/>
  <c r="AA8" i="9"/>
  <c r="AA7" i="9"/>
  <c r="AA6" i="9"/>
  <c r="AA5" i="9"/>
  <c r="AA4" i="9"/>
  <c r="AA11" i="9"/>
  <c r="AA12" i="9"/>
  <c r="AA13" i="9"/>
  <c r="AA14" i="9"/>
  <c r="AA15" i="9"/>
  <c r="AA3" i="9"/>
  <c r="AA2" i="9"/>
  <c r="Q15" i="9"/>
  <c r="R15" i="9" s="1"/>
  <c r="Q14" i="9"/>
  <c r="Q13" i="9"/>
  <c r="Q12" i="9"/>
  <c r="R12" i="9" s="1"/>
  <c r="Q11" i="9"/>
  <c r="Q10" i="9"/>
  <c r="R11" i="9" s="1"/>
  <c r="Q9" i="9"/>
  <c r="R9" i="9" s="1"/>
  <c r="Q8" i="9"/>
  <c r="R8" i="9" s="1"/>
  <c r="Q7" i="9"/>
  <c r="R7" i="9" s="1"/>
  <c r="Q6" i="9"/>
  <c r="R6" i="9" s="1"/>
  <c r="Q5" i="9"/>
  <c r="R5" i="9" s="1"/>
  <c r="Q4" i="9"/>
  <c r="R4" i="9" s="1"/>
  <c r="Q3" i="9"/>
  <c r="R3" i="9" s="1"/>
  <c r="Q2" i="9"/>
  <c r="L4" i="7"/>
  <c r="L6" i="7"/>
  <c r="L8" i="7"/>
  <c r="L12" i="7"/>
  <c r="L14" i="7"/>
  <c r="L16" i="7"/>
  <c r="L18" i="7"/>
  <c r="L20" i="7"/>
  <c r="L22" i="7"/>
  <c r="L24" i="7"/>
  <c r="L26" i="7"/>
  <c r="L28" i="7"/>
  <c r="L30" i="7"/>
  <c r="L32" i="7"/>
  <c r="L34" i="7"/>
  <c r="L36" i="7"/>
  <c r="L38" i="7"/>
  <c r="L40" i="7"/>
  <c r="L42" i="7"/>
  <c r="L44" i="7"/>
  <c r="L46" i="7"/>
  <c r="L48" i="7"/>
  <c r="L50" i="7"/>
  <c r="L52" i="7"/>
  <c r="L54" i="7"/>
  <c r="L56" i="7"/>
  <c r="L58" i="7"/>
  <c r="L60" i="7"/>
  <c r="L62" i="7"/>
  <c r="L64" i="7"/>
  <c r="L66" i="7"/>
  <c r="L68" i="7"/>
  <c r="L70" i="7"/>
  <c r="L72" i="7"/>
  <c r="L74" i="7"/>
  <c r="L76" i="7"/>
  <c r="L78" i="7"/>
  <c r="L80" i="7"/>
  <c r="L82" i="7"/>
  <c r="L84" i="7"/>
  <c r="L86" i="7"/>
  <c r="L88" i="7"/>
  <c r="L90" i="7"/>
  <c r="L92" i="7"/>
  <c r="L94" i="7"/>
  <c r="L96" i="7"/>
  <c r="L98" i="7"/>
  <c r="L100" i="7"/>
  <c r="L102" i="7"/>
  <c r="L104" i="7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3" i="8"/>
  <c r="AJ4" i="9"/>
  <c r="AJ5" i="9"/>
  <c r="AJ6" i="9"/>
  <c r="AJ7" i="9"/>
  <c r="AJ8" i="9"/>
  <c r="AJ9" i="9"/>
  <c r="AJ10" i="9"/>
  <c r="AJ11" i="9"/>
  <c r="AJ12" i="9"/>
  <c r="AJ13" i="9"/>
  <c r="AJ14" i="9"/>
  <c r="AJ15" i="9"/>
  <c r="AJ3" i="9"/>
  <c r="AH4" i="9"/>
  <c r="AH5" i="9"/>
  <c r="AH6" i="9"/>
  <c r="AH7" i="9"/>
  <c r="AH8" i="9"/>
  <c r="AH9" i="9"/>
  <c r="AH10" i="9"/>
  <c r="AH11" i="9"/>
  <c r="AH12" i="9"/>
  <c r="AH13" i="9"/>
  <c r="AH14" i="9"/>
  <c r="AH15" i="9"/>
  <c r="AH3" i="9"/>
  <c r="AF4" i="9"/>
  <c r="AF5" i="9"/>
  <c r="AF6" i="9"/>
  <c r="AF7" i="9"/>
  <c r="AF8" i="9"/>
  <c r="AF9" i="9"/>
  <c r="AF10" i="9"/>
  <c r="AF11" i="9"/>
  <c r="AF12" i="9"/>
  <c r="AF13" i="9"/>
  <c r="AF14" i="9"/>
  <c r="AF15" i="9"/>
  <c r="AF3" i="9"/>
  <c r="AD4" i="9"/>
  <c r="AD5" i="9"/>
  <c r="AD6" i="9"/>
  <c r="AD7" i="9"/>
  <c r="AD8" i="9"/>
  <c r="AD9" i="9"/>
  <c r="AD10" i="9"/>
  <c r="AD11" i="9"/>
  <c r="AD12" i="9"/>
  <c r="AD13" i="9"/>
  <c r="AD14" i="9"/>
  <c r="AD15" i="9"/>
  <c r="AD3" i="9"/>
  <c r="T4" i="9"/>
  <c r="T5" i="9"/>
  <c r="T6" i="9"/>
  <c r="T7" i="9"/>
  <c r="T8" i="9"/>
  <c r="T9" i="9"/>
  <c r="T10" i="9"/>
  <c r="T11" i="9"/>
  <c r="T12" i="9"/>
  <c r="T13" i="9"/>
  <c r="T14" i="9"/>
  <c r="T15" i="9"/>
  <c r="T3" i="9"/>
  <c r="X4" i="9"/>
  <c r="X5" i="9"/>
  <c r="X6" i="9"/>
  <c r="X7" i="9"/>
  <c r="X8" i="9"/>
  <c r="X9" i="9"/>
  <c r="X10" i="9"/>
  <c r="X11" i="9"/>
  <c r="X12" i="9"/>
  <c r="X13" i="9"/>
  <c r="X14" i="9"/>
  <c r="X15" i="9"/>
  <c r="X3" i="9"/>
  <c r="V4" i="9"/>
  <c r="V5" i="9"/>
  <c r="V6" i="9"/>
  <c r="V7" i="9"/>
  <c r="V8" i="9"/>
  <c r="V9" i="9"/>
  <c r="V10" i="9"/>
  <c r="V11" i="9"/>
  <c r="V12" i="9"/>
  <c r="V13" i="9"/>
  <c r="V14" i="9"/>
  <c r="V15" i="9"/>
  <c r="V3" i="9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3" i="8"/>
  <c r="P4" i="9"/>
  <c r="P5" i="9"/>
  <c r="P6" i="9"/>
  <c r="P7" i="9"/>
  <c r="P8" i="9"/>
  <c r="P9" i="9"/>
  <c r="P10" i="9"/>
  <c r="P11" i="9"/>
  <c r="P12" i="9"/>
  <c r="P13" i="9"/>
  <c r="P14" i="9"/>
  <c r="P15" i="9"/>
  <c r="P3" i="9"/>
  <c r="Z4" i="9"/>
  <c r="Z5" i="9"/>
  <c r="Z6" i="9"/>
  <c r="Z7" i="9"/>
  <c r="Z8" i="9"/>
  <c r="Z9" i="9"/>
  <c r="Z10" i="9"/>
  <c r="Z11" i="9"/>
  <c r="Z12" i="9"/>
  <c r="Z13" i="9"/>
  <c r="Z14" i="9"/>
  <c r="Z15" i="9"/>
  <c r="Z3" i="9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7" i="6"/>
  <c r="P6" i="6"/>
  <c r="F46" i="7"/>
  <c r="AD3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D2" i="8"/>
  <c r="AC2" i="8"/>
  <c r="AB2" i="8"/>
  <c r="AA2" i="8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2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6" i="7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3" i="6"/>
  <c r="R4" i="6"/>
  <c r="R5" i="6"/>
  <c r="R6" i="6"/>
  <c r="R7" i="6"/>
  <c r="R8" i="6"/>
  <c r="R9" i="6"/>
  <c r="R10" i="6"/>
  <c r="R11" i="6"/>
  <c r="R12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3" i="6"/>
  <c r="Q2" i="6"/>
  <c r="F107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6" i="6"/>
  <c r="R10" i="9" l="1"/>
</calcChain>
</file>

<file path=xl/sharedStrings.xml><?xml version="1.0" encoding="utf-8"?>
<sst xmlns="http://schemas.openxmlformats.org/spreadsheetml/2006/main" count="314" uniqueCount="113">
  <si>
    <t>Date</t>
  </si>
  <si>
    <t>CPI</t>
  </si>
  <si>
    <t>ECI</t>
  </si>
  <si>
    <t>https://fred.stlouisfed.org/series/ECIWAG</t>
  </si>
  <si>
    <t>EI1</t>
  </si>
  <si>
    <t>EI10</t>
  </si>
  <si>
    <t>one-year expected inflation</t>
  </si>
  <si>
    <t>ten-year expected inflation</t>
  </si>
  <si>
    <t>Link</t>
  </si>
  <si>
    <t>Cleveland Fed</t>
  </si>
  <si>
    <t>https://www.clevelandfed.org/indicators-and-data/inflation-expectations</t>
  </si>
  <si>
    <t>BLS</t>
  </si>
  <si>
    <t>CPIE</t>
  </si>
  <si>
    <t>https://fred.stlouisfed.org/series/CUSR0000SEHF</t>
  </si>
  <si>
    <t>CPIF</t>
  </si>
  <si>
    <t>https://fred.stlouisfed.org/series/CPIUFDNS#0</t>
  </si>
  <si>
    <t>GSCPI</t>
  </si>
  <si>
    <t>Global Supply Chain Pressure Index</t>
  </si>
  <si>
    <t>NY Fed</t>
  </si>
  <si>
    <t>https://www.newyorkfed.org/research/policy/gscpi#/overview</t>
  </si>
  <si>
    <t>DoT</t>
  </si>
  <si>
    <t>https://explore.dot.gov/views/VesselDwellTimes/DwellTimesbyPort?%3Aembed=y&amp;%3Aiid=1&amp;%3AisGuestRedirectFromVizportal=y</t>
  </si>
  <si>
    <t>https://fred.stlouisfed.org/series/A358RC1Q027SBEA#</t>
  </si>
  <si>
    <t>VA</t>
  </si>
  <si>
    <t>BLS/ JOLTS</t>
  </si>
  <si>
    <t>BLS job openings and labor turnover survey (JOLTS) and the BLS Employment Report. Pre-2001 data from Barnichon (2010). https://fred.stlouisfed.org/graph/?g=p9aA and https://docs.google.com/spreadsheets/d/1fkMinSHkjTL99-bLZYFldQ8rHtgh8lxd/edit#gid=1698826935</t>
  </si>
  <si>
    <t>Agency</t>
  </si>
  <si>
    <t>Units/ Measured in</t>
  </si>
  <si>
    <t>***</t>
  </si>
  <si>
    <t>rate</t>
  </si>
  <si>
    <t>ratio/rate</t>
  </si>
  <si>
    <t>Roll-on/Roll-off- ships that transport cars</t>
  </si>
  <si>
    <t>cargo ships used to transport liquids and gasses</t>
  </si>
  <si>
    <t>Container ships</t>
  </si>
  <si>
    <t>Employment Cost Index, wages and salaries</t>
  </si>
  <si>
    <t>changes of nonfarmroll valued added, change from 1 year ago</t>
  </si>
  <si>
    <t>Consumer Price Index for All Urban Consumers: Food</t>
  </si>
  <si>
    <t>Consumer Price Index for All Urban Consumers: Energy</t>
  </si>
  <si>
    <t>Variable</t>
  </si>
  <si>
    <t>Time period</t>
  </si>
  <si>
    <t>2001-2023</t>
  </si>
  <si>
    <t>1998-2023</t>
  </si>
  <si>
    <t>PCE</t>
  </si>
  <si>
    <t>PCEX</t>
  </si>
  <si>
    <t>https://fred.stlouisfed.org/series/DPCCRV1Q225SBEA#0</t>
  </si>
  <si>
    <t>Personal Consumption Expenditures: less food, energy, chain type</t>
  </si>
  <si>
    <t>Personal Consumption Expenditures: all items, chain type</t>
  </si>
  <si>
    <t>impt</t>
  </si>
  <si>
    <t>2019Q1-2022Q4</t>
  </si>
  <si>
    <t>2018Q1-2022Q2</t>
  </si>
  <si>
    <t>imptW</t>
  </si>
  <si>
    <t>imptE</t>
  </si>
  <si>
    <t>imptG</t>
  </si>
  <si>
    <t>imptS</t>
  </si>
  <si>
    <t>Import volume West ports-- Long Beach, LA, Seattle, Oakland</t>
  </si>
  <si>
    <t>import volume Gulf- Houston</t>
  </si>
  <si>
    <t>import volume South-- Charleston and Savannah</t>
  </si>
  <si>
    <t>import volume East-- Virginia, NY &amp; NJ</t>
  </si>
  <si>
    <t>Import volume of 9 largest ports</t>
  </si>
  <si>
    <t>IPI</t>
  </si>
  <si>
    <t>1983-2023</t>
  </si>
  <si>
    <t>Import Price Index (end use) all commodities</t>
  </si>
  <si>
    <t>https://fred.stlouisfed.org/series/IR#0</t>
  </si>
  <si>
    <t>wait</t>
  </si>
  <si>
    <t>average wait time at port before unloading</t>
  </si>
  <si>
    <t>UR</t>
  </si>
  <si>
    <t>Unemployment Rate</t>
  </si>
  <si>
    <t>Percent</t>
  </si>
  <si>
    <t>GSPCI</t>
  </si>
  <si>
    <t>VU</t>
  </si>
  <si>
    <t>Consumer Price Index: All Items less food and energy</t>
  </si>
  <si>
    <t>https://fred.stlouisfed.org/series/CPILFESL</t>
  </si>
  <si>
    <t>GSPCI4</t>
  </si>
  <si>
    <t>Q1</t>
  </si>
  <si>
    <t>Q2</t>
  </si>
  <si>
    <t>Q3</t>
  </si>
  <si>
    <t>Q4</t>
  </si>
  <si>
    <t>Yes</t>
  </si>
  <si>
    <t>IPI4</t>
  </si>
  <si>
    <t>GSCPI4</t>
  </si>
  <si>
    <t>4 month lag vacancies to unemployment (VU)</t>
  </si>
  <si>
    <t>4 month lag Glob. Supply Chain Press. Index (GSCPI)</t>
  </si>
  <si>
    <t>4 month lag Import Pressure Index (IPI)</t>
  </si>
  <si>
    <t>20-ft container units</t>
  </si>
  <si>
    <t>roro</t>
  </si>
  <si>
    <t>tanker</t>
  </si>
  <si>
    <t>container</t>
  </si>
  <si>
    <t>hours before docking</t>
  </si>
  <si>
    <t>SD, 0=average</t>
  </si>
  <si>
    <t>Dummy Q1</t>
  </si>
  <si>
    <t>Dummy Q2</t>
  </si>
  <si>
    <t>Dummy Q3</t>
  </si>
  <si>
    <t>Dummy Q4</t>
  </si>
  <si>
    <t>Description</t>
  </si>
  <si>
    <t>Seasonalized?</t>
  </si>
  <si>
    <t>UV</t>
  </si>
  <si>
    <t>UV4</t>
  </si>
  <si>
    <t>ratio of unemployment to job vacancies</t>
  </si>
  <si>
    <t>deltaimpt</t>
  </si>
  <si>
    <t>deltawait</t>
  </si>
  <si>
    <t>deltatanker</t>
  </si>
  <si>
    <t>deltaroro</t>
  </si>
  <si>
    <t>deltacontainer</t>
  </si>
  <si>
    <t>deltaw</t>
  </si>
  <si>
    <t>deltae</t>
  </si>
  <si>
    <t>deltas</t>
  </si>
  <si>
    <t>deltag</t>
  </si>
  <si>
    <t>JLN</t>
  </si>
  <si>
    <t>EID</t>
  </si>
  <si>
    <t>StdWait</t>
  </si>
  <si>
    <t>StdImpt</t>
  </si>
  <si>
    <t>dstdw</t>
  </si>
  <si>
    <t>dstdi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</si>
</sst>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0"/>
    <numFmt numFmtId="166" formatCode="0.0"/>
    <numFmt numFmtId="167" formatCode="0.000"/>
    <numFmt numFmtId="168" formatCode="yyyy\-mm\-dd;@"/>
  </numFmts>
  <fonts count="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theme="1" tint="0.1499984740745262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4" fillId="0" borderId="0" xfId="1"/>
    <xf numFmtId="0" fontId="2" fillId="0" borderId="0" xfId="0" applyFont="1"/>
    <xf numFmtId="0" fontId="0" fillId="0" borderId="0" xfId="0" applyAlignment="1">
      <alignment horizontal="right"/>
    </xf>
    <xf numFmtId="165" fontId="0" fillId="0" borderId="0" xfId="0" applyNumberFormat="1"/>
    <xf numFmtId="0" fontId="1" fillId="0" borderId="0" xfId="0" applyFont="1"/>
    <xf numFmtId="167" fontId="0" fillId="0" borderId="0" xfId="0" applyNumberFormat="1"/>
    <xf numFmtId="166" fontId="1" fillId="0" borderId="0" xfId="0" applyNumberFormat="1" applyFont="1"/>
    <xf numFmtId="168" fontId="2" fillId="0" borderId="0" xfId="0" applyNumberFormat="1" applyFont="1"/>
    <xf numFmtId="168" fontId="0" fillId="0" borderId="0" xfId="0" applyNumberFormat="1"/>
    <xf numFmtId="0" fontId="3" fillId="0" borderId="0" xfId="0" applyFont="1"/>
    <xf numFmtId="0" fontId="4" fillId="0" borderId="0" xfId="1" applyBorder="1"/>
    <xf numFmtId="0" fontId="1" fillId="0" borderId="2" xfId="0" applyFont="1" applyBorder="1"/>
    <xf numFmtId="166" fontId="1" fillId="0" borderId="2" xfId="0" applyNumberFormat="1" applyFont="1" applyBorder="1"/>
    <xf numFmtId="0" fontId="2" fillId="0" borderId="2" xfId="0" applyFont="1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1" applyFont="1" applyBorder="1"/>
    <xf numFmtId="0" fontId="4" fillId="0" borderId="0" xfId="1" applyFill="1" applyBorder="1"/>
    <xf numFmtId="0" fontId="1" fillId="0" borderId="0" xfId="0" applyFont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3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DPCCRV1Q225SBEA" TargetMode="External"/><Relationship Id="rId3" Type="http://schemas.openxmlformats.org/officeDocument/2006/relationships/hyperlink" Target="https://fred.stlouisfed.org/series/CUSR0000SEHF" TargetMode="External"/><Relationship Id="rId7" Type="http://schemas.openxmlformats.org/officeDocument/2006/relationships/hyperlink" Target="https://fred.stlouisfed.org/series/CPALTT01USQ657N" TargetMode="External"/><Relationship Id="rId2" Type="http://schemas.openxmlformats.org/officeDocument/2006/relationships/hyperlink" Target="https://fred.stlouisfed.org/series/CPALTT01USQ657N" TargetMode="External"/><Relationship Id="rId1" Type="http://schemas.openxmlformats.org/officeDocument/2006/relationships/hyperlink" Target="https://fred.stlouisfed.org/series/ECIWAG" TargetMode="External"/><Relationship Id="rId6" Type="http://schemas.openxmlformats.org/officeDocument/2006/relationships/hyperlink" Target="https://www.clevelandfed.org/indicators-and-data/inflation-expectations" TargetMode="External"/><Relationship Id="rId5" Type="http://schemas.openxmlformats.org/officeDocument/2006/relationships/hyperlink" Target="https://www.clevelandfed.org/indicators-and-data/inflation-expectations" TargetMode="External"/><Relationship Id="rId4" Type="http://schemas.openxmlformats.org/officeDocument/2006/relationships/hyperlink" Target="https://fred.stlouisfed.org/series/CPIUFDNS" TargetMode="External"/><Relationship Id="rId9" Type="http://schemas.openxmlformats.org/officeDocument/2006/relationships/hyperlink" Target="https://fred.stlouisfed.org/series/I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yorkfed.org/research/policy/gscpi" TargetMode="External"/><Relationship Id="rId13" Type="http://schemas.openxmlformats.org/officeDocument/2006/relationships/hyperlink" Target="https://explore.dot.gov/views/VesselDwellTimes/DwellTimesbyPort?%3Aembed=y&amp;%3Aiid=1&amp;%3AisGuestRedirectFromVizportal=y" TargetMode="External"/><Relationship Id="rId18" Type="http://schemas.openxmlformats.org/officeDocument/2006/relationships/hyperlink" Target="https://fred.stlouisfed.org/series/DPCCRV1Q225SBEA" TargetMode="External"/><Relationship Id="rId3" Type="http://schemas.openxmlformats.org/officeDocument/2006/relationships/hyperlink" Target="https://explore.dot.gov/views/VesselDwellTimes/DwellTimesbyPort?%3Aembed=y&amp;%3Aiid=1&amp;%3AisGuestRedirectFromVizportal=y" TargetMode="External"/><Relationship Id="rId21" Type="http://schemas.openxmlformats.org/officeDocument/2006/relationships/hyperlink" Target="https://www.clevelandfed.org/indicators-and-data/inflation-expectations" TargetMode="External"/><Relationship Id="rId7" Type="http://schemas.openxmlformats.org/officeDocument/2006/relationships/hyperlink" Target="https://www.clevelandfed.org/indicators-and-data/inflation-expectations" TargetMode="External"/><Relationship Id="rId12" Type="http://schemas.openxmlformats.org/officeDocument/2006/relationships/hyperlink" Target="https://explore.dot.gov/views/VesselDwellTimes/DwellTimesbyPort?%3Aembed=y&amp;%3Aiid=1&amp;%3AisGuestRedirectFromVizportal=y" TargetMode="External"/><Relationship Id="rId17" Type="http://schemas.openxmlformats.org/officeDocument/2006/relationships/hyperlink" Target="https://fred.stlouisfed.org/series/CPALTT01USQ657N" TargetMode="External"/><Relationship Id="rId2" Type="http://schemas.openxmlformats.org/officeDocument/2006/relationships/hyperlink" Target="https://explore.dot.gov/views/VesselDwellTimes/DwellTimesbyPort?%3Aembed=y&amp;%3Aiid=1&amp;%3AisGuestRedirectFromVizportal=y" TargetMode="External"/><Relationship Id="rId16" Type="http://schemas.openxmlformats.org/officeDocument/2006/relationships/hyperlink" Target="https://fred.stlouisfed.org/series/CPIUFDNS" TargetMode="External"/><Relationship Id="rId20" Type="http://schemas.openxmlformats.org/officeDocument/2006/relationships/hyperlink" Target="https://fred.stlouisfed.org/series/A358RC1Q027SBEA" TargetMode="External"/><Relationship Id="rId1" Type="http://schemas.openxmlformats.org/officeDocument/2006/relationships/hyperlink" Target="https://explore.dot.gov/views/VesselDwellTimes/DwellTimesbyPort?%3Aembed=y&amp;%3Aiid=1&amp;%3AisGuestRedirectFromVizportal=y" TargetMode="External"/><Relationship Id="rId6" Type="http://schemas.openxmlformats.org/officeDocument/2006/relationships/hyperlink" Target="https://www.clevelandfed.org/indicators-and-data/inflation-expectations" TargetMode="External"/><Relationship Id="rId11" Type="http://schemas.openxmlformats.org/officeDocument/2006/relationships/hyperlink" Target="https://explore.dot.gov/views/VesselDwellTimes/DwellTimesbyPort?%3Aembed=y&amp;%3Aiid=1&amp;%3AisGuestRedirectFromVizportal=y" TargetMode="External"/><Relationship Id="rId5" Type="http://schemas.openxmlformats.org/officeDocument/2006/relationships/hyperlink" Target="https://fred.stlouisfed.org/series/CPIUFDNS" TargetMode="External"/><Relationship Id="rId15" Type="http://schemas.openxmlformats.org/officeDocument/2006/relationships/hyperlink" Target="https://fred.stlouisfed.org/series/A358RC1Q027SBEA" TargetMode="External"/><Relationship Id="rId10" Type="http://schemas.openxmlformats.org/officeDocument/2006/relationships/hyperlink" Target="https://explore.dot.gov/views/VesselDwellTimes/DwellTimesbyPort?%3Aembed=y&amp;%3Aiid=1&amp;%3AisGuestRedirectFromVizportal=y" TargetMode="External"/><Relationship Id="rId19" Type="http://schemas.openxmlformats.org/officeDocument/2006/relationships/hyperlink" Target="https://fred.stlouisfed.org/series/IR" TargetMode="External"/><Relationship Id="rId4" Type="http://schemas.openxmlformats.org/officeDocument/2006/relationships/hyperlink" Target="https://fred.stlouisfed.org/series/CUSR0000SEHF" TargetMode="External"/><Relationship Id="rId9" Type="http://schemas.openxmlformats.org/officeDocument/2006/relationships/hyperlink" Target="https://explore.dot.gov/views/VesselDwellTimes/DwellTimesbyPort?%3Aembed=y&amp;%3Aiid=1&amp;%3AisGuestRedirectFromVizportal=y" TargetMode="External"/><Relationship Id="rId14" Type="http://schemas.openxmlformats.org/officeDocument/2006/relationships/hyperlink" Target="https://explore.dot.gov/views/VesselDwellTimes/DwellTimesbyPort?%3Aembed=y&amp;%3Aiid=1&amp;%3AisGuestRedirectFromVizportal=y" TargetMode="External"/><Relationship Id="rId22" Type="http://schemas.openxmlformats.org/officeDocument/2006/relationships/hyperlink" Target="https://www.clevelandfed.org/indicators-and-data/inflation-expectation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CPALTT01USQ657N" TargetMode="External"/><Relationship Id="rId3" Type="http://schemas.openxmlformats.org/officeDocument/2006/relationships/hyperlink" Target="https://www.clevelandfed.org/indicators-and-data/inflation-expectations" TargetMode="External"/><Relationship Id="rId7" Type="http://schemas.openxmlformats.org/officeDocument/2006/relationships/hyperlink" Target="https://fred.stlouisfed.org/series/IR" TargetMode="External"/><Relationship Id="rId2" Type="http://schemas.openxmlformats.org/officeDocument/2006/relationships/hyperlink" Target="https://fred.stlouisfed.org/series/CPIUFDNS" TargetMode="External"/><Relationship Id="rId1" Type="http://schemas.openxmlformats.org/officeDocument/2006/relationships/hyperlink" Target="https://fred.stlouisfed.org/series/CUSR0000SEHF" TargetMode="External"/><Relationship Id="rId6" Type="http://schemas.openxmlformats.org/officeDocument/2006/relationships/hyperlink" Target="https://fred.stlouisfed.org/series/DPCCRV1Q225SBEA" TargetMode="External"/><Relationship Id="rId5" Type="http://schemas.openxmlformats.org/officeDocument/2006/relationships/hyperlink" Target="https://fred.stlouisfed.org/series/CPALTT01USQ657N" TargetMode="External"/><Relationship Id="rId4" Type="http://schemas.openxmlformats.org/officeDocument/2006/relationships/hyperlink" Target="https://www.clevelandfed.org/indicators-and-data/inflation-expectations" TargetMode="External"/><Relationship Id="rId9" Type="http://schemas.openxmlformats.org/officeDocument/2006/relationships/hyperlink" Target="https://fred.stlouisfed.org/series/A358RC1Q027SBE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IR" TargetMode="External"/><Relationship Id="rId3" Type="http://schemas.openxmlformats.org/officeDocument/2006/relationships/hyperlink" Target="https://fred.stlouisfed.org/series/CPIUFDNS" TargetMode="External"/><Relationship Id="rId7" Type="http://schemas.openxmlformats.org/officeDocument/2006/relationships/hyperlink" Target="https://fred.stlouisfed.org/series/DPCCRV1Q225SBEA" TargetMode="External"/><Relationship Id="rId2" Type="http://schemas.openxmlformats.org/officeDocument/2006/relationships/hyperlink" Target="https://fred.stlouisfed.org/series/CUSR0000SEHF" TargetMode="External"/><Relationship Id="rId1" Type="http://schemas.openxmlformats.org/officeDocument/2006/relationships/hyperlink" Target="https://fred.stlouisfed.org/series/CPALTT01USQ657N" TargetMode="External"/><Relationship Id="rId6" Type="http://schemas.openxmlformats.org/officeDocument/2006/relationships/hyperlink" Target="https://fred.stlouisfed.org/series/CPALTT01USQ657N" TargetMode="External"/><Relationship Id="rId5" Type="http://schemas.openxmlformats.org/officeDocument/2006/relationships/hyperlink" Target="https://www.clevelandfed.org/indicators-and-data/inflation-expectations" TargetMode="External"/><Relationship Id="rId4" Type="http://schemas.openxmlformats.org/officeDocument/2006/relationships/hyperlink" Target="https://www.clevelandfed.org/indicators-and-data/inflation-expectations" TargetMode="External"/><Relationship Id="rId9" Type="http://schemas.openxmlformats.org/officeDocument/2006/relationships/hyperlink" Target="https://fred.stlouisfed.org/series/A358RC1Q027SBEA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DPCCRV1Q225SBEA" TargetMode="External"/><Relationship Id="rId3" Type="http://schemas.openxmlformats.org/officeDocument/2006/relationships/hyperlink" Target="https://fred.stlouisfed.org/series/CUSR0000SEHF" TargetMode="External"/><Relationship Id="rId7" Type="http://schemas.openxmlformats.org/officeDocument/2006/relationships/hyperlink" Target="https://fred.stlouisfed.org/series/CPALTT01USQ657N" TargetMode="External"/><Relationship Id="rId2" Type="http://schemas.openxmlformats.org/officeDocument/2006/relationships/hyperlink" Target="https://fred.stlouisfed.org/series/CPALTT01USQ657N" TargetMode="External"/><Relationship Id="rId1" Type="http://schemas.openxmlformats.org/officeDocument/2006/relationships/hyperlink" Target="https://fred.stlouisfed.org/series/ECIWAG" TargetMode="External"/><Relationship Id="rId6" Type="http://schemas.openxmlformats.org/officeDocument/2006/relationships/hyperlink" Target="https://www.clevelandfed.org/indicators-and-data/inflation-expectations" TargetMode="External"/><Relationship Id="rId5" Type="http://schemas.openxmlformats.org/officeDocument/2006/relationships/hyperlink" Target="https://www.clevelandfed.org/indicators-and-data/inflation-expectations" TargetMode="External"/><Relationship Id="rId10" Type="http://schemas.openxmlformats.org/officeDocument/2006/relationships/hyperlink" Target="https://fred.stlouisfed.org/series/A358RC1Q027SBEA" TargetMode="External"/><Relationship Id="rId4" Type="http://schemas.openxmlformats.org/officeDocument/2006/relationships/hyperlink" Target="https://fred.stlouisfed.org/series/CPIUFDNS" TargetMode="External"/><Relationship Id="rId9" Type="http://schemas.openxmlformats.org/officeDocument/2006/relationships/hyperlink" Target="https://fred.stlouisfed.org/series/IR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CPALTT01USQ657N" TargetMode="External"/><Relationship Id="rId3" Type="http://schemas.openxmlformats.org/officeDocument/2006/relationships/hyperlink" Target="https://www.clevelandfed.org/indicators-and-data/inflation-expectations" TargetMode="External"/><Relationship Id="rId7" Type="http://schemas.openxmlformats.org/officeDocument/2006/relationships/hyperlink" Target="https://fred.stlouisfed.org/series/IR" TargetMode="External"/><Relationship Id="rId2" Type="http://schemas.openxmlformats.org/officeDocument/2006/relationships/hyperlink" Target="https://fred.stlouisfed.org/series/CPIUFDNS" TargetMode="External"/><Relationship Id="rId1" Type="http://schemas.openxmlformats.org/officeDocument/2006/relationships/hyperlink" Target="https://fred.stlouisfed.org/series/CUSR0000SEHF" TargetMode="External"/><Relationship Id="rId6" Type="http://schemas.openxmlformats.org/officeDocument/2006/relationships/hyperlink" Target="https://fred.stlouisfed.org/series/DPCCRV1Q225SBEA" TargetMode="External"/><Relationship Id="rId5" Type="http://schemas.openxmlformats.org/officeDocument/2006/relationships/hyperlink" Target="https://fred.stlouisfed.org/series/CPALTT01USQ657N" TargetMode="External"/><Relationship Id="rId4" Type="http://schemas.openxmlformats.org/officeDocument/2006/relationships/hyperlink" Target="https://www.clevelandfed.org/indicators-and-data/inflation-expectations" TargetMode="External"/><Relationship Id="rId9" Type="http://schemas.openxmlformats.org/officeDocument/2006/relationships/hyperlink" Target="https://fred.stlouisfed.org/series/A358RC1Q027SBEA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DPCCRV1Q225SBEA" TargetMode="External"/><Relationship Id="rId3" Type="http://schemas.openxmlformats.org/officeDocument/2006/relationships/hyperlink" Target="https://fred.stlouisfed.org/series/CUSR0000SEHF" TargetMode="External"/><Relationship Id="rId7" Type="http://schemas.openxmlformats.org/officeDocument/2006/relationships/hyperlink" Target="https://fred.stlouisfed.org/series/CPALTT01USQ657N" TargetMode="External"/><Relationship Id="rId2" Type="http://schemas.openxmlformats.org/officeDocument/2006/relationships/hyperlink" Target="https://fred.stlouisfed.org/series/CPALTT01USQ657N" TargetMode="External"/><Relationship Id="rId1" Type="http://schemas.openxmlformats.org/officeDocument/2006/relationships/hyperlink" Target="https://fred.stlouisfed.org/series/ECIWAG" TargetMode="External"/><Relationship Id="rId6" Type="http://schemas.openxmlformats.org/officeDocument/2006/relationships/hyperlink" Target="https://www.clevelandfed.org/indicators-and-data/inflation-expectations" TargetMode="External"/><Relationship Id="rId5" Type="http://schemas.openxmlformats.org/officeDocument/2006/relationships/hyperlink" Target="https://www.clevelandfed.org/indicators-and-data/inflation-expectations" TargetMode="External"/><Relationship Id="rId10" Type="http://schemas.openxmlformats.org/officeDocument/2006/relationships/hyperlink" Target="https://fred.stlouisfed.org/series/A358RC1Q027SBEA" TargetMode="External"/><Relationship Id="rId4" Type="http://schemas.openxmlformats.org/officeDocument/2006/relationships/hyperlink" Target="https://fred.stlouisfed.org/series/CPIUFDNS" TargetMode="External"/><Relationship Id="rId9" Type="http://schemas.openxmlformats.org/officeDocument/2006/relationships/hyperlink" Target="https://fred.stlouisfed.org/series/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6"/>
  <sheetViews>
    <sheetView zoomScale="94" workbookViewId="0">
      <pane ySplit="1" topLeftCell="A121" activePane="bottomLeft" state="frozen"/>
      <selection pane="bottomLeft" activeCell="S1" sqref="S1:S1048576"/>
    </sheetView>
  </sheetViews>
  <sheetFormatPr baseColWidth="10" defaultColWidth="10.83203125" defaultRowHeight="13" x14ac:dyDescent="0.15"/>
  <cols>
    <col min="1" max="1" width="11.1640625" customWidth="1"/>
    <col min="2" max="2" width="12.6640625" customWidth="1"/>
    <col min="3" max="3" width="7.6640625" bestFit="1" customWidth="1"/>
    <col min="4" max="8" width="7.83203125" customWidth="1"/>
    <col min="9" max="9" width="9.1640625" bestFit="1" customWidth="1"/>
    <col min="12" max="12" width="5.6640625" bestFit="1" customWidth="1"/>
  </cols>
  <sheetData>
    <row r="1" spans="1:23" x14ac:dyDescent="0.15">
      <c r="A1" s="4" t="s">
        <v>0</v>
      </c>
      <c r="B1" s="3" t="s">
        <v>1</v>
      </c>
      <c r="C1" s="3" t="s">
        <v>12</v>
      </c>
      <c r="D1" s="3" t="s">
        <v>14</v>
      </c>
      <c r="E1" s="3" t="s">
        <v>42</v>
      </c>
      <c r="F1" s="3" t="s">
        <v>43</v>
      </c>
      <c r="G1" s="9" t="s">
        <v>65</v>
      </c>
      <c r="H1" s="3" t="s">
        <v>59</v>
      </c>
      <c r="I1" s="4" t="s">
        <v>23</v>
      </c>
      <c r="J1" s="3" t="s">
        <v>4</v>
      </c>
      <c r="K1" s="3" t="s">
        <v>5</v>
      </c>
      <c r="L1" s="7" t="s">
        <v>69</v>
      </c>
      <c r="M1" s="3" t="s">
        <v>2</v>
      </c>
      <c r="N1" t="s">
        <v>68</v>
      </c>
      <c r="O1" s="7" t="s">
        <v>63</v>
      </c>
      <c r="P1" s="7" t="s">
        <v>86</v>
      </c>
      <c r="Q1" s="7" t="s">
        <v>85</v>
      </c>
      <c r="R1" s="7" t="s">
        <v>84</v>
      </c>
      <c r="S1" s="7" t="s">
        <v>47</v>
      </c>
      <c r="T1" s="7" t="s">
        <v>50</v>
      </c>
      <c r="U1" s="7" t="s">
        <v>51</v>
      </c>
      <c r="V1" s="7" t="s">
        <v>53</v>
      </c>
      <c r="W1" s="7" t="s">
        <v>52</v>
      </c>
    </row>
    <row r="2" spans="1:23" x14ac:dyDescent="0.15">
      <c r="A2" s="1">
        <v>30317</v>
      </c>
      <c r="B2" s="8">
        <v>0.61643999999999999</v>
      </c>
      <c r="C2" s="8">
        <v>2.0498799999999999</v>
      </c>
      <c r="D2" s="8">
        <v>0.92149999999999999</v>
      </c>
      <c r="E2" s="2">
        <v>1.8192600000000001</v>
      </c>
      <c r="F2" s="2">
        <v>-5.2631600000000001</v>
      </c>
      <c r="G2" s="2">
        <v>10.366666666666667</v>
      </c>
      <c r="H2" s="2">
        <v>-2.7534399999999999</v>
      </c>
      <c r="I2" s="8">
        <v>146.46799999999999</v>
      </c>
      <c r="J2">
        <v>4.5073036666666656E-2</v>
      </c>
      <c r="K2">
        <v>4.7294843333333336E-2</v>
      </c>
      <c r="L2">
        <v>2.4466666666666668</v>
      </c>
    </row>
    <row r="3" spans="1:23" x14ac:dyDescent="0.15">
      <c r="A3" s="1">
        <v>30407</v>
      </c>
      <c r="B3" s="8">
        <v>0.98707</v>
      </c>
      <c r="C3" s="8">
        <v>1.30566</v>
      </c>
      <c r="D3" s="8">
        <v>1.01454</v>
      </c>
      <c r="E3" s="2">
        <v>2.96774</v>
      </c>
      <c r="F3" s="2">
        <v>-42.592590000000001</v>
      </c>
      <c r="G3" s="2">
        <v>10.133333333333333</v>
      </c>
      <c r="H3" s="2">
        <v>0.12870000000000001</v>
      </c>
      <c r="I3" s="8">
        <v>203.244</v>
      </c>
      <c r="J3">
        <v>4.4625013333333331E-2</v>
      </c>
      <c r="K3">
        <v>4.6657454333333327E-2</v>
      </c>
      <c r="L3">
        <v>2.69</v>
      </c>
    </row>
    <row r="4" spans="1:23" x14ac:dyDescent="0.15">
      <c r="A4" s="1">
        <v>30498</v>
      </c>
      <c r="B4" s="8">
        <v>1.24705</v>
      </c>
      <c r="C4" s="8">
        <v>0.13219</v>
      </c>
      <c r="D4" s="8">
        <v>3.3480000000000003E-2</v>
      </c>
      <c r="E4" s="2">
        <v>3.1326399999999999</v>
      </c>
      <c r="F4" s="2">
        <v>100</v>
      </c>
      <c r="G4" s="2">
        <v>9.3666666666666671</v>
      </c>
      <c r="H4" s="2">
        <v>-0.25707000000000002</v>
      </c>
      <c r="I4" s="8">
        <v>293.50200000000001</v>
      </c>
      <c r="J4">
        <v>5.0855189999999995E-2</v>
      </c>
      <c r="K4">
        <v>4.9979892666666664E-2</v>
      </c>
      <c r="L4">
        <v>2.9633333333333334</v>
      </c>
    </row>
    <row r="5" spans="1:23" x14ac:dyDescent="0.15">
      <c r="A5" s="1">
        <v>30590</v>
      </c>
      <c r="B5" s="8">
        <v>1.29827</v>
      </c>
      <c r="C5" s="8">
        <v>1.4191400000000001</v>
      </c>
      <c r="D5" s="8">
        <v>0.30120000000000002</v>
      </c>
      <c r="E5" s="2">
        <v>2.2673399999999999</v>
      </c>
      <c r="F5" s="2">
        <v>-48.387099999999997</v>
      </c>
      <c r="G5" s="2">
        <v>8.5333333333333332</v>
      </c>
      <c r="H5" s="2">
        <v>0.51546000000000003</v>
      </c>
      <c r="I5" s="8">
        <v>351.70100000000002</v>
      </c>
      <c r="J5">
        <v>5.1721677666666667E-2</v>
      </c>
      <c r="K5">
        <v>5.0443155666666663E-2</v>
      </c>
      <c r="L5">
        <v>3.3533333333333335</v>
      </c>
    </row>
    <row r="6" spans="1:23" x14ac:dyDescent="0.15">
      <c r="A6" s="1">
        <v>30682</v>
      </c>
      <c r="B6" s="8">
        <v>1.38022</v>
      </c>
      <c r="C6" s="8">
        <v>0.35796</v>
      </c>
      <c r="D6" s="8">
        <v>2.7694399999999999</v>
      </c>
      <c r="E6" s="2">
        <v>1.92483</v>
      </c>
      <c r="F6" s="2">
        <v>28.125</v>
      </c>
      <c r="G6" s="2">
        <v>7.8666666666666671</v>
      </c>
      <c r="H6" s="2">
        <v>0.89744000000000002</v>
      </c>
      <c r="I6" s="8">
        <v>367.05900000000003</v>
      </c>
      <c r="J6">
        <v>5.0466915666666667E-2</v>
      </c>
      <c r="K6">
        <v>5.0906632333333333E-2</v>
      </c>
      <c r="L6">
        <v>3.6300000000000003</v>
      </c>
    </row>
    <row r="7" spans="1:23" x14ac:dyDescent="0.15">
      <c r="A7" s="1">
        <v>30773</v>
      </c>
      <c r="B7" s="8">
        <v>1.23177</v>
      </c>
      <c r="C7" s="8">
        <v>1.00519</v>
      </c>
      <c r="D7" s="8">
        <v>0.19481000000000001</v>
      </c>
      <c r="E7" s="2">
        <v>2.38611</v>
      </c>
      <c r="F7" s="2">
        <v>17.073170000000001</v>
      </c>
      <c r="G7" s="2">
        <v>7.4333333333333336</v>
      </c>
      <c r="H7" s="2">
        <v>0.25413000000000002</v>
      </c>
      <c r="I7" s="8">
        <v>349.6</v>
      </c>
      <c r="J7">
        <v>5.4889862000000005E-2</v>
      </c>
      <c r="K7">
        <v>5.4984280666666663E-2</v>
      </c>
      <c r="L7">
        <v>3.8766666666666665</v>
      </c>
    </row>
    <row r="8" spans="1:23" x14ac:dyDescent="0.15">
      <c r="A8" s="1">
        <v>30864</v>
      </c>
      <c r="B8" s="8">
        <v>1.2487999999999999</v>
      </c>
      <c r="C8" s="8">
        <v>2.1187800000000001</v>
      </c>
      <c r="D8" s="8">
        <v>0.74529999999999996</v>
      </c>
      <c r="E8" s="2">
        <v>1.52135</v>
      </c>
      <c r="F8" s="2">
        <v>-20.83333</v>
      </c>
      <c r="G8" s="2">
        <v>7.4333333333333336</v>
      </c>
      <c r="H8" s="2">
        <v>-1.52091</v>
      </c>
      <c r="I8" s="8">
        <v>294.91199999999998</v>
      </c>
      <c r="J8">
        <v>5.3406469333333338E-2</v>
      </c>
      <c r="K8">
        <v>5.5346867999999994E-2</v>
      </c>
      <c r="L8">
        <v>3.9366666666666661</v>
      </c>
    </row>
    <row r="9" spans="1:23" x14ac:dyDescent="0.15">
      <c r="A9" s="1">
        <v>30956</v>
      </c>
      <c r="B9" s="8">
        <v>1.0120199999999999</v>
      </c>
      <c r="C9" s="8">
        <v>0.56586000000000003</v>
      </c>
      <c r="D9" s="8">
        <v>0.12866</v>
      </c>
      <c r="E9" s="2">
        <v>1.9189499999999999</v>
      </c>
      <c r="F9" s="2">
        <v>-23.68421</v>
      </c>
      <c r="G9" s="2">
        <v>7.3</v>
      </c>
      <c r="H9" s="2">
        <v>-0.90090000000000003</v>
      </c>
      <c r="I9" s="8">
        <v>250.82499999999999</v>
      </c>
      <c r="J9">
        <v>5.0674824666666674E-2</v>
      </c>
      <c r="K9">
        <v>5.0883249666666665E-2</v>
      </c>
      <c r="L9">
        <v>3.9866666666666668</v>
      </c>
    </row>
    <row r="10" spans="1:23" x14ac:dyDescent="0.15">
      <c r="A10" s="1">
        <v>31048</v>
      </c>
      <c r="B10" s="8">
        <v>1.0958000000000001</v>
      </c>
      <c r="C10" s="8">
        <v>9.3780000000000002E-2</v>
      </c>
      <c r="D10" s="8">
        <v>1.41343</v>
      </c>
      <c r="E10" s="2">
        <v>2.8990399999999998</v>
      </c>
      <c r="F10" s="2">
        <v>93.103449999999995</v>
      </c>
      <c r="G10" s="2">
        <v>7.2333333333333334</v>
      </c>
      <c r="H10" s="2">
        <v>-1.9480500000000001</v>
      </c>
      <c r="I10" s="8">
        <v>246.249</v>
      </c>
      <c r="J10">
        <v>4.8421602000000001E-2</v>
      </c>
      <c r="K10">
        <v>5.1396746666666666E-2</v>
      </c>
      <c r="L10">
        <v>4</v>
      </c>
    </row>
    <row r="11" spans="1:23" x14ac:dyDescent="0.15">
      <c r="A11" s="1">
        <v>31138</v>
      </c>
      <c r="B11" s="8">
        <v>1.0529599999999999</v>
      </c>
      <c r="C11" s="8">
        <v>0.43723000000000001</v>
      </c>
      <c r="D11" s="8">
        <v>0.15837999999999999</v>
      </c>
      <c r="E11" s="2">
        <v>1.7349300000000001</v>
      </c>
      <c r="F11" s="2">
        <v>-37.5</v>
      </c>
      <c r="G11" s="2">
        <v>7.3</v>
      </c>
      <c r="H11" s="2">
        <v>0.39734999999999998</v>
      </c>
      <c r="I11" s="8">
        <v>214.81800000000001</v>
      </c>
      <c r="J11">
        <v>4.7308111333333326E-2</v>
      </c>
      <c r="K11">
        <v>4.8651426999999997E-2</v>
      </c>
      <c r="L11">
        <v>4.0199999999999996</v>
      </c>
    </row>
    <row r="12" spans="1:23" x14ac:dyDescent="0.15">
      <c r="A12" s="1">
        <v>31229</v>
      </c>
      <c r="B12" s="8">
        <v>0.88875000000000004</v>
      </c>
      <c r="C12" s="8">
        <v>-0.62189000000000005</v>
      </c>
      <c r="D12" s="8">
        <v>0.1265</v>
      </c>
      <c r="E12" s="2">
        <v>2.6997100000000001</v>
      </c>
      <c r="F12" s="2">
        <v>20</v>
      </c>
      <c r="G12" s="2">
        <v>7.2</v>
      </c>
      <c r="H12" s="2">
        <v>0.26384999999999997</v>
      </c>
      <c r="I12" s="8">
        <v>237.27099999999999</v>
      </c>
      <c r="J12">
        <v>4.4326927333333342E-2</v>
      </c>
      <c r="K12">
        <v>4.6338346000000002E-2</v>
      </c>
      <c r="L12">
        <v>4.043333333333333</v>
      </c>
    </row>
    <row r="13" spans="1:23" x14ac:dyDescent="0.15">
      <c r="A13" s="1">
        <v>31321</v>
      </c>
      <c r="B13" s="8">
        <v>1.1543099999999999</v>
      </c>
      <c r="C13" s="8">
        <v>-0.34417999999999999</v>
      </c>
      <c r="D13" s="8">
        <v>0.53695999999999999</v>
      </c>
      <c r="E13" s="2">
        <v>0.91618999999999995</v>
      </c>
      <c r="F13" s="2">
        <v>-30.952380000000002</v>
      </c>
      <c r="G13" s="2">
        <v>7.0333333333333332</v>
      </c>
      <c r="H13" s="2">
        <v>2.36842</v>
      </c>
      <c r="I13" s="8">
        <v>235.227</v>
      </c>
      <c r="J13">
        <v>4.2295887333333337E-2</v>
      </c>
      <c r="K13">
        <v>4.4931961333333333E-2</v>
      </c>
      <c r="L13">
        <v>4.0233333333333334</v>
      </c>
    </row>
    <row r="14" spans="1:23" x14ac:dyDescent="0.15">
      <c r="A14" s="1">
        <v>31413</v>
      </c>
      <c r="B14" s="8">
        <v>1.08108</v>
      </c>
      <c r="C14" s="8">
        <v>0.28256999999999999</v>
      </c>
      <c r="D14" s="8">
        <v>1.35093</v>
      </c>
      <c r="E14" s="2">
        <v>1.5914699999999999</v>
      </c>
      <c r="F14" s="2">
        <v>51.724139999999998</v>
      </c>
      <c r="G14" s="2">
        <v>7.0333333333333332</v>
      </c>
      <c r="H14" s="2">
        <v>-3.59897</v>
      </c>
      <c r="I14" s="8">
        <v>217.28299999999999</v>
      </c>
      <c r="J14">
        <v>3.8091589000000002E-2</v>
      </c>
      <c r="K14">
        <v>3.997907366666667E-2</v>
      </c>
      <c r="L14">
        <v>3.9333333333333336</v>
      </c>
    </row>
    <row r="15" spans="1:23" x14ac:dyDescent="0.15">
      <c r="A15" s="1">
        <v>31503</v>
      </c>
      <c r="B15" s="8">
        <v>0.83184999999999998</v>
      </c>
      <c r="C15" s="8">
        <v>-0.59487000000000001</v>
      </c>
      <c r="D15" s="8">
        <v>0.37197999999999998</v>
      </c>
      <c r="E15" s="2">
        <v>0.98573</v>
      </c>
      <c r="F15" s="2">
        <v>-36.363639999999997</v>
      </c>
      <c r="G15" s="2">
        <v>7.166666666666667</v>
      </c>
      <c r="H15" s="2">
        <v>0.13333</v>
      </c>
      <c r="I15" s="8">
        <v>185.923</v>
      </c>
      <c r="J15">
        <v>3.1109216333333332E-2</v>
      </c>
      <c r="K15">
        <v>3.6962264666666668E-2</v>
      </c>
      <c r="L15">
        <v>3.9466666666666668</v>
      </c>
    </row>
    <row r="16" spans="1:23" x14ac:dyDescent="0.15">
      <c r="A16" s="1">
        <v>31594</v>
      </c>
      <c r="B16" s="8">
        <v>0.94284000000000001</v>
      </c>
      <c r="C16" s="8">
        <v>-0.25197000000000003</v>
      </c>
      <c r="D16" s="8">
        <v>1.6677</v>
      </c>
      <c r="E16" s="2">
        <v>2.30525</v>
      </c>
      <c r="F16" s="2">
        <v>0</v>
      </c>
      <c r="G16" s="2">
        <v>6.9666666666666668</v>
      </c>
      <c r="H16" s="2">
        <v>2.3967999999999998</v>
      </c>
      <c r="I16" s="8">
        <v>147.90899999999999</v>
      </c>
      <c r="J16">
        <v>3.4550240000000003E-2</v>
      </c>
      <c r="K16">
        <v>3.5798593666666663E-2</v>
      </c>
      <c r="L16">
        <v>3.936666666666667</v>
      </c>
    </row>
    <row r="17" spans="1:12" x14ac:dyDescent="0.15">
      <c r="A17" s="1">
        <v>31686</v>
      </c>
      <c r="B17" s="8">
        <v>0.96321999999999997</v>
      </c>
      <c r="C17" s="8">
        <v>-2.39975</v>
      </c>
      <c r="D17" s="8">
        <v>0.75941999999999998</v>
      </c>
      <c r="E17" s="2">
        <v>1.22035</v>
      </c>
      <c r="F17" s="2">
        <v>17.857140000000001</v>
      </c>
      <c r="G17" s="2">
        <v>6.833333333333333</v>
      </c>
      <c r="H17" s="2">
        <v>1.0403100000000001</v>
      </c>
      <c r="I17" s="8">
        <v>142.75700000000001</v>
      </c>
      <c r="J17">
        <v>3.4431558000000001E-2</v>
      </c>
      <c r="K17">
        <v>3.5567019666666665E-2</v>
      </c>
      <c r="L17">
        <v>3.9933333333333336</v>
      </c>
    </row>
    <row r="18" spans="1:12" x14ac:dyDescent="0.15">
      <c r="A18" s="1">
        <v>31778</v>
      </c>
      <c r="B18" s="8">
        <v>0.80947999999999998</v>
      </c>
      <c r="C18" s="8">
        <v>0.54998000000000002</v>
      </c>
      <c r="D18" s="8">
        <v>1.62798</v>
      </c>
      <c r="E18" s="2">
        <v>1.03969</v>
      </c>
      <c r="F18" s="2">
        <v>-21.212119999999999</v>
      </c>
      <c r="G18" s="2">
        <v>6.6</v>
      </c>
      <c r="H18" s="2">
        <v>3.9897</v>
      </c>
      <c r="I18" s="8">
        <v>138.09399999999999</v>
      </c>
      <c r="J18">
        <v>3.3804077333333328E-2</v>
      </c>
      <c r="K18">
        <v>3.4771669666666664E-2</v>
      </c>
      <c r="L18">
        <v>4.05</v>
      </c>
    </row>
    <row r="19" spans="1:12" x14ac:dyDescent="0.15">
      <c r="A19" s="1">
        <v>31868</v>
      </c>
      <c r="B19" s="8">
        <v>1.2044699999999999</v>
      </c>
      <c r="C19" s="8">
        <v>0</v>
      </c>
      <c r="D19" s="8">
        <v>0.83060999999999996</v>
      </c>
      <c r="E19" s="2">
        <v>2.3406500000000001</v>
      </c>
      <c r="F19" s="2">
        <v>50</v>
      </c>
      <c r="G19" s="2">
        <v>6.2666666666666666</v>
      </c>
      <c r="H19" s="2">
        <v>3.4653499999999999</v>
      </c>
      <c r="I19" s="8">
        <v>182.58500000000001</v>
      </c>
      <c r="J19">
        <v>3.8432135000000006E-2</v>
      </c>
      <c r="K19">
        <v>3.8370295000000006E-2</v>
      </c>
      <c r="L19">
        <v>4.2600000000000007</v>
      </c>
    </row>
    <row r="20" spans="1:12" x14ac:dyDescent="0.15">
      <c r="A20" s="1">
        <v>31959</v>
      </c>
      <c r="B20" s="8">
        <v>0.93511</v>
      </c>
      <c r="C20" s="8">
        <v>0.90090000000000003</v>
      </c>
      <c r="D20" s="8">
        <v>0.50014999999999998</v>
      </c>
      <c r="E20" s="2">
        <v>2.0960700000000001</v>
      </c>
      <c r="F20" s="2">
        <v>-7.69231</v>
      </c>
      <c r="G20" s="2">
        <v>6</v>
      </c>
      <c r="H20" s="2">
        <v>0.83731999999999995</v>
      </c>
      <c r="I20" s="8">
        <v>200.06399999999999</v>
      </c>
      <c r="J20">
        <v>4.1366897999999992E-2</v>
      </c>
      <c r="K20">
        <v>4.0557199333333328E-2</v>
      </c>
      <c r="L20">
        <v>4.4066666666666663</v>
      </c>
    </row>
    <row r="21" spans="1:12" x14ac:dyDescent="0.15">
      <c r="A21" s="1">
        <v>32051</v>
      </c>
      <c r="B21" s="8">
        <v>1.1510400000000001</v>
      </c>
      <c r="C21" s="8">
        <v>-0.82908000000000004</v>
      </c>
      <c r="D21" s="8">
        <v>0.46838000000000002</v>
      </c>
      <c r="E21" s="2">
        <v>1.0778399999999999</v>
      </c>
      <c r="F21" s="2">
        <v>13.88889</v>
      </c>
      <c r="G21" s="2">
        <v>5.833333333333333</v>
      </c>
      <c r="H21" s="2">
        <v>1.4234899999999999</v>
      </c>
      <c r="I21" s="8">
        <v>254.42400000000001</v>
      </c>
      <c r="J21">
        <v>4.1464479999999998E-2</v>
      </c>
      <c r="K21">
        <v>4.2285899333333328E-2</v>
      </c>
      <c r="L21">
        <v>4.46</v>
      </c>
    </row>
    <row r="22" spans="1:12" x14ac:dyDescent="0.15">
      <c r="A22" s="1">
        <v>32143</v>
      </c>
      <c r="B22" s="8">
        <v>0.97141</v>
      </c>
      <c r="C22" s="8">
        <v>-0.19292999999999999</v>
      </c>
      <c r="D22" s="8">
        <v>1.1946399999999999</v>
      </c>
      <c r="E22" s="2">
        <v>2.5685500000000001</v>
      </c>
      <c r="F22" s="2">
        <v>-4.87805</v>
      </c>
      <c r="G22" s="2">
        <v>5.7</v>
      </c>
      <c r="H22" s="2">
        <v>1.1695899999999999</v>
      </c>
      <c r="I22" s="8">
        <v>249.245</v>
      </c>
      <c r="J22">
        <v>3.7101399E-2</v>
      </c>
      <c r="K22">
        <v>3.9595603333333333E-2</v>
      </c>
      <c r="L22">
        <v>4.3066666666666666</v>
      </c>
    </row>
    <row r="23" spans="1:12" x14ac:dyDescent="0.15">
      <c r="A23" s="1">
        <v>32234</v>
      </c>
      <c r="B23" s="8">
        <v>1.20946</v>
      </c>
      <c r="C23" s="8">
        <v>0.3866</v>
      </c>
      <c r="D23" s="8">
        <v>1.1229499999999999</v>
      </c>
      <c r="E23" s="2">
        <v>1.8513599999999999</v>
      </c>
      <c r="F23" s="2">
        <v>25.641030000000001</v>
      </c>
      <c r="G23" s="2">
        <v>5.4666666666666668</v>
      </c>
      <c r="H23" s="2">
        <v>2.65896</v>
      </c>
      <c r="I23" s="8">
        <v>283.48599999999999</v>
      </c>
      <c r="J23">
        <v>4.0097212E-2</v>
      </c>
      <c r="K23">
        <v>4.0681033333333332E-2</v>
      </c>
      <c r="L23">
        <v>4.3833333333333337</v>
      </c>
    </row>
    <row r="24" spans="1:12" x14ac:dyDescent="0.15">
      <c r="A24" s="1">
        <v>32325</v>
      </c>
      <c r="B24" s="8">
        <v>1.1135299999999999</v>
      </c>
      <c r="C24" s="8">
        <v>0.99487000000000003</v>
      </c>
      <c r="D24" s="8">
        <v>2.0501100000000001</v>
      </c>
      <c r="E24" s="2">
        <v>2.1326399999999999</v>
      </c>
      <c r="F24" s="2">
        <v>-4.0816299999999996</v>
      </c>
      <c r="G24" s="2">
        <v>5.4666666666666668</v>
      </c>
      <c r="H24" s="2">
        <v>-1.3513500000000001</v>
      </c>
      <c r="I24" s="8">
        <v>295.90600000000001</v>
      </c>
      <c r="J24">
        <v>4.3490423666666667E-2</v>
      </c>
      <c r="K24">
        <v>4.1117827666666669E-2</v>
      </c>
      <c r="L24">
        <v>4.34</v>
      </c>
    </row>
    <row r="25" spans="1:12" x14ac:dyDescent="0.15">
      <c r="A25" s="1">
        <v>32417</v>
      </c>
      <c r="B25" s="8">
        <v>1.2087000000000001</v>
      </c>
      <c r="C25" s="8">
        <v>1.3981600000000001</v>
      </c>
      <c r="D25" s="8">
        <v>0.78125</v>
      </c>
      <c r="E25" s="2">
        <v>2.1604800000000002</v>
      </c>
      <c r="F25" s="2">
        <v>-4.2553200000000002</v>
      </c>
      <c r="G25" s="2">
        <v>5.333333333333333</v>
      </c>
      <c r="H25" s="2">
        <v>1.9406399999999999</v>
      </c>
      <c r="I25" s="8">
        <v>310.05599999999998</v>
      </c>
      <c r="J25">
        <v>4.3612560333333328E-2</v>
      </c>
      <c r="K25">
        <v>4.0578042666666668E-2</v>
      </c>
      <c r="L25">
        <v>4.37</v>
      </c>
    </row>
    <row r="26" spans="1:12" x14ac:dyDescent="0.15">
      <c r="A26" s="1">
        <v>32509</v>
      </c>
      <c r="B26" s="8">
        <v>1.0615699999999999</v>
      </c>
      <c r="C26" s="8">
        <v>9.4009999999999996E-2</v>
      </c>
      <c r="D26" s="8">
        <v>2.0487299999999999</v>
      </c>
      <c r="E26" s="2">
        <v>1.61982</v>
      </c>
      <c r="F26" s="2">
        <v>-2.2222200000000001</v>
      </c>
      <c r="G26" s="2">
        <v>5.2</v>
      </c>
      <c r="H26" s="2">
        <v>1.9036999999999999</v>
      </c>
      <c r="I26" s="8">
        <v>331.58300000000003</v>
      </c>
      <c r="J26">
        <v>4.4704927000000005E-2</v>
      </c>
      <c r="K26">
        <v>4.2691099333333336E-2</v>
      </c>
      <c r="L26">
        <v>4.1933333333333342</v>
      </c>
    </row>
    <row r="27" spans="1:12" x14ac:dyDescent="0.15">
      <c r="A27" s="1">
        <v>32599</v>
      </c>
      <c r="B27" s="8">
        <v>1.0766800000000001</v>
      </c>
      <c r="C27" s="8">
        <v>0.59487000000000001</v>
      </c>
      <c r="D27" s="8">
        <v>1.49213</v>
      </c>
      <c r="E27" s="2">
        <v>1.8232200000000001</v>
      </c>
      <c r="F27" s="2">
        <v>-15.909090000000001</v>
      </c>
      <c r="G27" s="2">
        <v>5.2333333333333334</v>
      </c>
      <c r="H27" s="2">
        <v>1.1355299999999999</v>
      </c>
      <c r="I27" s="8">
        <v>313.45499999999998</v>
      </c>
      <c r="J27">
        <v>4.6465208333333341E-2</v>
      </c>
      <c r="K27">
        <v>4.1085879333333332E-2</v>
      </c>
      <c r="L27">
        <v>4.1433333333333335</v>
      </c>
    </row>
    <row r="28" spans="1:12" x14ac:dyDescent="0.15">
      <c r="A28" s="1">
        <v>32690</v>
      </c>
      <c r="B28" s="8">
        <v>0.96128999999999998</v>
      </c>
      <c r="C28" s="8">
        <v>0.90258000000000005</v>
      </c>
      <c r="D28" s="8">
        <v>0.88212000000000002</v>
      </c>
      <c r="E28" s="2">
        <v>1.5645199999999999</v>
      </c>
      <c r="F28" s="2">
        <v>-18.91892</v>
      </c>
      <c r="G28" s="2">
        <v>5.2333333333333334</v>
      </c>
      <c r="H28" s="2">
        <v>-1.8833800000000001</v>
      </c>
      <c r="I28" s="8">
        <v>306.267</v>
      </c>
      <c r="J28">
        <v>4.1584194666666664E-2</v>
      </c>
      <c r="K28">
        <v>3.7059770666666665E-2</v>
      </c>
      <c r="L28">
        <v>3.9966666666666666</v>
      </c>
    </row>
    <row r="29" spans="1:12" x14ac:dyDescent="0.15">
      <c r="A29" s="1">
        <v>32782</v>
      </c>
      <c r="B29" s="8">
        <v>1.20947</v>
      </c>
      <c r="C29" s="8">
        <v>0.49352000000000001</v>
      </c>
      <c r="D29" s="8">
        <v>0.90090000000000003</v>
      </c>
      <c r="E29" s="2">
        <v>1.2273499999999999</v>
      </c>
      <c r="F29" s="2">
        <v>23.33333</v>
      </c>
      <c r="G29" s="2">
        <v>5.3666666666666671</v>
      </c>
      <c r="H29" s="2">
        <v>0.99668000000000001</v>
      </c>
      <c r="I29" s="8">
        <v>228.23500000000001</v>
      </c>
      <c r="J29">
        <v>3.961046666666667E-2</v>
      </c>
      <c r="K29">
        <v>3.7257347666666663E-2</v>
      </c>
      <c r="L29">
        <v>4</v>
      </c>
    </row>
    <row r="30" spans="1:12" x14ac:dyDescent="0.15">
      <c r="A30" s="1">
        <v>32874</v>
      </c>
      <c r="B30" s="8">
        <v>1.27129</v>
      </c>
      <c r="C30" s="8">
        <v>0.61387000000000003</v>
      </c>
      <c r="D30" s="8">
        <v>3.2563</v>
      </c>
      <c r="E30" s="2">
        <v>2.3054299999999999</v>
      </c>
      <c r="F30" s="2">
        <v>27.02703</v>
      </c>
      <c r="G30" s="2">
        <v>5.3</v>
      </c>
      <c r="H30" s="2">
        <v>1.4619899999999999</v>
      </c>
      <c r="I30" s="8">
        <v>258.42</v>
      </c>
      <c r="J30">
        <v>4.1920147333333331E-2</v>
      </c>
      <c r="K30">
        <v>3.9067440000000002E-2</v>
      </c>
      <c r="L30">
        <v>3.8200000000000003</v>
      </c>
    </row>
    <row r="31" spans="1:12" x14ac:dyDescent="0.15">
      <c r="A31" s="1">
        <v>32964</v>
      </c>
      <c r="B31" s="8">
        <v>1.30555</v>
      </c>
      <c r="C31" s="8">
        <v>-0.15253</v>
      </c>
      <c r="D31" s="8">
        <v>0.35604999999999998</v>
      </c>
      <c r="E31" s="2">
        <v>1.2172499999999999</v>
      </c>
      <c r="F31" s="2">
        <v>-4.2553200000000002</v>
      </c>
      <c r="G31" s="2">
        <v>5.333333333333333</v>
      </c>
      <c r="H31" s="2">
        <v>-1.44092</v>
      </c>
      <c r="I31" s="8">
        <v>232.26400000000001</v>
      </c>
      <c r="J31">
        <v>4.1907233666666675E-2</v>
      </c>
      <c r="K31">
        <v>4.0161228333333333E-2</v>
      </c>
      <c r="L31">
        <v>3.6266666666666669</v>
      </c>
    </row>
    <row r="32" spans="1:12" x14ac:dyDescent="0.15">
      <c r="A32" s="1">
        <v>33055</v>
      </c>
      <c r="B32" s="8">
        <v>1.48699</v>
      </c>
      <c r="C32" s="8">
        <v>-9.1660000000000005E-2</v>
      </c>
      <c r="D32" s="8">
        <v>1.06437</v>
      </c>
      <c r="E32" s="2">
        <v>1.6721999999999999</v>
      </c>
      <c r="F32" s="2">
        <v>-8.88889</v>
      </c>
      <c r="G32" s="2">
        <v>5.7</v>
      </c>
      <c r="H32" s="2">
        <v>2.4488300000000001</v>
      </c>
      <c r="I32" s="8">
        <v>201.55500000000001</v>
      </c>
      <c r="J32">
        <v>4.310160833333334E-2</v>
      </c>
      <c r="K32">
        <v>3.9209755333333325E-2</v>
      </c>
      <c r="L32">
        <v>3.4266666666666672</v>
      </c>
    </row>
    <row r="33" spans="1:12" x14ac:dyDescent="0.15">
      <c r="A33" s="1">
        <v>33147</v>
      </c>
      <c r="B33" s="8">
        <v>1.14774</v>
      </c>
      <c r="C33" s="8">
        <v>0.88685000000000003</v>
      </c>
      <c r="D33" s="8">
        <v>0.75226000000000004</v>
      </c>
      <c r="E33" s="2">
        <v>0.55198999999999998</v>
      </c>
      <c r="F33" s="2">
        <v>-17.073170000000001</v>
      </c>
      <c r="G33" s="2">
        <v>6.1333333333333329</v>
      </c>
      <c r="H33" s="2">
        <v>5.7438500000000001</v>
      </c>
      <c r="I33" s="8">
        <v>153.399</v>
      </c>
      <c r="J33">
        <v>4.9504671333333333E-2</v>
      </c>
      <c r="K33">
        <v>3.9430409E-2</v>
      </c>
      <c r="L33">
        <v>2.9733333333333332</v>
      </c>
    </row>
    <row r="34" spans="1:12" x14ac:dyDescent="0.15">
      <c r="A34" s="1">
        <v>33239</v>
      </c>
      <c r="B34" s="8">
        <v>1.44858</v>
      </c>
      <c r="C34" s="8">
        <v>2.4249800000000001</v>
      </c>
      <c r="D34" s="8">
        <v>1.3190599999999999</v>
      </c>
      <c r="E34" s="2">
        <v>0.14563999999999999</v>
      </c>
      <c r="F34" s="2">
        <v>5.8823499999999997</v>
      </c>
      <c r="G34" s="2">
        <v>6.6</v>
      </c>
      <c r="H34" s="2">
        <v>-3.1713900000000002</v>
      </c>
      <c r="I34" s="8">
        <v>69.409000000000006</v>
      </c>
      <c r="J34">
        <v>3.8844827333333332E-2</v>
      </c>
      <c r="K34">
        <v>3.7995597333333332E-2</v>
      </c>
      <c r="L34">
        <v>2.62</v>
      </c>
    </row>
    <row r="35" spans="1:12" x14ac:dyDescent="0.15">
      <c r="A35" s="1">
        <v>33329</v>
      </c>
      <c r="B35" s="8">
        <v>0.90432999999999997</v>
      </c>
      <c r="C35" s="8">
        <v>-0.59189000000000003</v>
      </c>
      <c r="D35" s="8">
        <v>0.88429999999999997</v>
      </c>
      <c r="E35" s="2">
        <v>1.37771</v>
      </c>
      <c r="F35" s="2">
        <v>-13.88889</v>
      </c>
      <c r="G35" s="2">
        <v>6.833333333333333</v>
      </c>
      <c r="H35" s="2">
        <v>-1.8815299999999999</v>
      </c>
      <c r="I35" s="8">
        <v>82.828000000000003</v>
      </c>
      <c r="J35">
        <v>3.6586261666666668E-2</v>
      </c>
      <c r="K35">
        <v>3.8045613666666672E-2</v>
      </c>
      <c r="L35">
        <v>2.543333333333333</v>
      </c>
    </row>
    <row r="36" spans="1:12" x14ac:dyDescent="0.15">
      <c r="A36" s="1">
        <v>33420</v>
      </c>
      <c r="B36" s="8">
        <v>1.08491</v>
      </c>
      <c r="C36" s="8">
        <v>0.35725000000000001</v>
      </c>
      <c r="D36" s="8">
        <v>-0.53566999999999998</v>
      </c>
      <c r="E36" s="2">
        <v>1.1798900000000001</v>
      </c>
      <c r="F36" s="2">
        <v>16.12903</v>
      </c>
      <c r="G36" s="2">
        <v>6.8666666666666671</v>
      </c>
      <c r="H36" s="2">
        <v>-0.85226999999999997</v>
      </c>
      <c r="I36" s="8">
        <v>117.41800000000001</v>
      </c>
      <c r="J36">
        <v>3.7354418E-2</v>
      </c>
      <c r="K36">
        <v>3.8121097333333333E-2</v>
      </c>
      <c r="L36">
        <v>2.46</v>
      </c>
    </row>
    <row r="37" spans="1:12" x14ac:dyDescent="0.15">
      <c r="A37" s="1">
        <v>33512</v>
      </c>
      <c r="B37" s="8">
        <v>0.93327000000000004</v>
      </c>
      <c r="C37" s="8">
        <v>1.03827</v>
      </c>
      <c r="D37" s="8">
        <v>4.8959999999999997E-2</v>
      </c>
      <c r="E37" s="2">
        <v>0.67366999999999999</v>
      </c>
      <c r="F37" s="2">
        <v>-11.11111</v>
      </c>
      <c r="G37" s="2">
        <v>7.1</v>
      </c>
      <c r="H37" s="2">
        <v>1.32521</v>
      </c>
      <c r="I37" s="8">
        <v>172.32300000000001</v>
      </c>
      <c r="J37">
        <v>3.5455317333333326E-2</v>
      </c>
      <c r="K37">
        <v>3.5462250666666667E-2</v>
      </c>
      <c r="L37">
        <v>2.3766666666666669</v>
      </c>
    </row>
    <row r="38" spans="1:12" x14ac:dyDescent="0.15">
      <c r="A38" s="1">
        <v>33604</v>
      </c>
      <c r="B38" s="8">
        <v>0.87841000000000002</v>
      </c>
      <c r="C38" s="8">
        <v>-5.8720000000000001E-2</v>
      </c>
      <c r="D38" s="8">
        <v>1.00318</v>
      </c>
      <c r="E38" s="2">
        <v>2.50915</v>
      </c>
      <c r="F38" s="2">
        <v>-3.125</v>
      </c>
      <c r="G38" s="2">
        <v>7.3666666666666671</v>
      </c>
      <c r="H38" s="2">
        <v>-0.35348000000000002</v>
      </c>
      <c r="I38" s="8">
        <v>235.768</v>
      </c>
      <c r="J38">
        <v>3.4001520333333334E-2</v>
      </c>
      <c r="K38">
        <v>3.5179933333333337E-2</v>
      </c>
      <c r="L38">
        <v>2.3733333333333335</v>
      </c>
    </row>
    <row r="39" spans="1:12" x14ac:dyDescent="0.15">
      <c r="A39" s="1">
        <v>33695</v>
      </c>
      <c r="B39" s="8">
        <v>0.87075999999999998</v>
      </c>
      <c r="C39" s="8">
        <v>0.61692000000000002</v>
      </c>
      <c r="D39" s="8">
        <v>2.4219999999999998E-2</v>
      </c>
      <c r="E39" s="2">
        <v>1.3478399999999999</v>
      </c>
      <c r="F39" s="2">
        <v>-6.4516099999999996</v>
      </c>
      <c r="G39" s="2">
        <v>7.6</v>
      </c>
      <c r="H39" s="2">
        <v>0.17737</v>
      </c>
      <c r="I39" s="8">
        <v>245.75800000000001</v>
      </c>
      <c r="J39">
        <v>3.4443122999999999E-2</v>
      </c>
      <c r="K39">
        <v>3.6332183999999997E-2</v>
      </c>
      <c r="L39">
        <v>2.42</v>
      </c>
    </row>
    <row r="40" spans="1:12" x14ac:dyDescent="0.15">
      <c r="A40" s="1">
        <v>33786</v>
      </c>
      <c r="B40" s="8">
        <v>0.77237999999999996</v>
      </c>
      <c r="C40" s="8">
        <v>0.67152999999999996</v>
      </c>
      <c r="D40" s="8">
        <v>0.19375000000000001</v>
      </c>
      <c r="E40" s="2">
        <v>1.7165299999999999</v>
      </c>
      <c r="F40" s="2">
        <v>-17.241379999999999</v>
      </c>
      <c r="G40" s="2">
        <v>7.6333333333333329</v>
      </c>
      <c r="H40" s="2">
        <v>1.59348</v>
      </c>
      <c r="I40" s="8">
        <v>256.37599999999998</v>
      </c>
      <c r="J40">
        <v>3.1331306666666663E-2</v>
      </c>
      <c r="K40">
        <v>3.3234853333333335E-2</v>
      </c>
      <c r="L40">
        <v>2.4133333333333331</v>
      </c>
    </row>
    <row r="41" spans="1:12" x14ac:dyDescent="0.15">
      <c r="A41" s="1">
        <v>33878</v>
      </c>
      <c r="B41" s="8">
        <v>0.90171000000000001</v>
      </c>
      <c r="C41" s="8">
        <v>1.39211</v>
      </c>
      <c r="D41" s="8">
        <v>0.38674999999999998</v>
      </c>
      <c r="E41" s="2">
        <v>1.89733</v>
      </c>
      <c r="F41" s="2">
        <v>25</v>
      </c>
      <c r="G41" s="2">
        <v>7.3666666666666671</v>
      </c>
      <c r="H41" s="2">
        <v>3.4860000000000002E-2</v>
      </c>
      <c r="I41" s="8">
        <v>324.98200000000003</v>
      </c>
      <c r="J41">
        <v>3.0162698666666668E-2</v>
      </c>
      <c r="K41">
        <v>3.2896638999999998E-2</v>
      </c>
      <c r="L41">
        <v>2.4866666666666664</v>
      </c>
    </row>
    <row r="42" spans="1:12" x14ac:dyDescent="0.15">
      <c r="A42" s="1">
        <v>33970</v>
      </c>
      <c r="B42" s="8">
        <v>0.87131000000000003</v>
      </c>
      <c r="C42" s="8">
        <v>-0.14302000000000001</v>
      </c>
      <c r="D42" s="8">
        <v>1.08355</v>
      </c>
      <c r="E42" s="2">
        <v>0.98207999999999995</v>
      </c>
      <c r="F42" s="2">
        <v>-6.6666699999999999</v>
      </c>
      <c r="G42" s="2">
        <v>7.1333333333333329</v>
      </c>
      <c r="H42" s="2">
        <v>-1.3240400000000001</v>
      </c>
      <c r="I42" s="8">
        <v>286.57299999999998</v>
      </c>
      <c r="J42">
        <v>2.9790463999999999E-2</v>
      </c>
      <c r="K42">
        <v>3.1762714000000004E-2</v>
      </c>
      <c r="L42">
        <v>2.5133333333333332</v>
      </c>
    </row>
    <row r="43" spans="1:12" x14ac:dyDescent="0.15">
      <c r="A43" s="1">
        <v>34060</v>
      </c>
      <c r="B43" s="8">
        <v>0.84164000000000005</v>
      </c>
      <c r="C43" s="8">
        <v>1.74735</v>
      </c>
      <c r="D43" s="8">
        <v>0.54788000000000003</v>
      </c>
      <c r="E43" s="2">
        <v>1.5886899999999999</v>
      </c>
      <c r="F43" s="2">
        <v>10.71429</v>
      </c>
      <c r="G43" s="2">
        <v>7.0666666666666664</v>
      </c>
      <c r="H43" s="2">
        <v>0.88277000000000005</v>
      </c>
      <c r="I43" s="8">
        <v>264.02800000000002</v>
      </c>
      <c r="J43">
        <v>2.8471689333333331E-2</v>
      </c>
      <c r="K43">
        <v>3.0223519333333334E-2</v>
      </c>
      <c r="L43">
        <v>2.57</v>
      </c>
    </row>
    <row r="44" spans="1:12" x14ac:dyDescent="0.15">
      <c r="A44" s="1">
        <v>34151</v>
      </c>
      <c r="B44" s="8">
        <v>0.59301999999999999</v>
      </c>
      <c r="C44" s="8">
        <v>0.95721000000000001</v>
      </c>
      <c r="D44" s="8">
        <v>2.3689999999999999E-2</v>
      </c>
      <c r="E44" s="2">
        <v>1.5517700000000001</v>
      </c>
      <c r="F44" s="2">
        <v>-25.806450000000002</v>
      </c>
      <c r="G44" s="2">
        <v>6.8</v>
      </c>
      <c r="H44" s="2">
        <v>-0.80503999999999998</v>
      </c>
      <c r="I44" s="8">
        <v>256.70800000000003</v>
      </c>
      <c r="J44">
        <v>2.7791416666666666E-2</v>
      </c>
      <c r="K44">
        <v>2.9288990666666664E-2</v>
      </c>
      <c r="L44">
        <v>2.66</v>
      </c>
    </row>
    <row r="45" spans="1:12" x14ac:dyDescent="0.15">
      <c r="A45" s="1">
        <v>34243</v>
      </c>
      <c r="B45" s="8">
        <v>0.78603000000000001</v>
      </c>
      <c r="C45" s="8">
        <v>0.11154</v>
      </c>
      <c r="D45" s="8">
        <v>0.94742000000000004</v>
      </c>
      <c r="E45" s="2">
        <v>1.4597199999999999</v>
      </c>
      <c r="F45" s="2">
        <v>-8.6956500000000005</v>
      </c>
      <c r="G45" s="2">
        <v>6.6333333333333329</v>
      </c>
      <c r="H45" s="2">
        <v>-0.21171000000000001</v>
      </c>
      <c r="I45" s="8">
        <v>255.74600000000001</v>
      </c>
      <c r="J45">
        <v>2.7457907666666666E-2</v>
      </c>
      <c r="K45">
        <v>2.9141195999999998E-2</v>
      </c>
      <c r="L45">
        <v>2.81</v>
      </c>
    </row>
    <row r="46" spans="1:12" x14ac:dyDescent="0.15">
      <c r="A46" s="1">
        <v>34335</v>
      </c>
      <c r="B46" s="8">
        <v>0.64990999999999999</v>
      </c>
      <c r="C46" s="8">
        <v>5.5710000000000003E-2</v>
      </c>
      <c r="D46" s="8">
        <v>0.84467000000000003</v>
      </c>
      <c r="E46" s="2">
        <v>1.5060800000000001</v>
      </c>
      <c r="F46" s="2">
        <v>-14.28571</v>
      </c>
      <c r="G46" s="2">
        <v>6.5666666666666664</v>
      </c>
      <c r="H46" s="2">
        <v>-0.49504999999999999</v>
      </c>
      <c r="I46" s="8">
        <v>286.44900000000001</v>
      </c>
      <c r="J46">
        <v>2.9771222999999999E-2</v>
      </c>
      <c r="K46">
        <v>3.0634859666666667E-2</v>
      </c>
      <c r="L46">
        <v>3.0500000000000003</v>
      </c>
    </row>
    <row r="47" spans="1:12" x14ac:dyDescent="0.15">
      <c r="A47" s="1">
        <v>34425</v>
      </c>
      <c r="B47" s="8">
        <v>0.68876000000000004</v>
      </c>
      <c r="C47" s="8">
        <v>-0.33407999999999999</v>
      </c>
      <c r="D47" s="8">
        <v>0.1396</v>
      </c>
      <c r="E47" s="2">
        <v>1.34019</v>
      </c>
      <c r="F47" s="2">
        <v>50</v>
      </c>
      <c r="G47" s="2">
        <v>6.2</v>
      </c>
      <c r="H47" s="2">
        <v>1.81237</v>
      </c>
      <c r="I47" s="8">
        <v>346.14499999999998</v>
      </c>
      <c r="J47">
        <v>3.2953144999999996E-2</v>
      </c>
      <c r="K47">
        <v>3.4732972666666667E-2</v>
      </c>
      <c r="L47">
        <v>3.1733333333333333</v>
      </c>
    </row>
    <row r="48" spans="1:12" x14ac:dyDescent="0.15">
      <c r="A48" s="1">
        <v>34516</v>
      </c>
      <c r="B48" s="8">
        <v>0.74817999999999996</v>
      </c>
      <c r="C48" s="8">
        <v>-0.13966000000000001</v>
      </c>
      <c r="D48" s="8">
        <v>0.83643000000000001</v>
      </c>
      <c r="E48" s="2">
        <v>1.48546</v>
      </c>
      <c r="F48" s="2">
        <v>-14.81481</v>
      </c>
      <c r="G48" s="2">
        <v>6</v>
      </c>
      <c r="H48" s="2">
        <v>1.9197200000000001</v>
      </c>
      <c r="I48" s="8">
        <v>345.56599999999997</v>
      </c>
      <c r="J48">
        <v>3.2748912333333331E-2</v>
      </c>
      <c r="K48">
        <v>3.5102900333333333E-2</v>
      </c>
      <c r="L48">
        <v>3.2433333333333336</v>
      </c>
    </row>
    <row r="49" spans="1:14" x14ac:dyDescent="0.15">
      <c r="A49" s="1">
        <v>34608</v>
      </c>
      <c r="B49" s="8">
        <v>0.63653999999999999</v>
      </c>
      <c r="C49" s="8">
        <v>-0.39161000000000001</v>
      </c>
      <c r="D49" s="8">
        <v>0.71428999999999998</v>
      </c>
      <c r="E49" s="2">
        <v>1.5563</v>
      </c>
      <c r="F49" s="2">
        <v>-13.043480000000001</v>
      </c>
      <c r="G49" s="2">
        <v>5.6333333333333329</v>
      </c>
      <c r="H49" s="2">
        <v>0.95889999999999997</v>
      </c>
      <c r="I49" s="8">
        <v>357.76299999999998</v>
      </c>
      <c r="J49">
        <v>3.6598178666666668E-2</v>
      </c>
      <c r="K49">
        <v>3.7548176999999995E-2</v>
      </c>
      <c r="L49">
        <v>3.4299999999999997</v>
      </c>
    </row>
    <row r="50" spans="1:14" x14ac:dyDescent="0.15">
      <c r="A50" s="1">
        <v>34700</v>
      </c>
      <c r="B50" s="8">
        <v>0.84335000000000004</v>
      </c>
      <c r="C50" s="8">
        <v>0.56164000000000003</v>
      </c>
      <c r="D50" s="8">
        <v>1.1896599999999999</v>
      </c>
      <c r="E50" s="2">
        <v>0.74102000000000001</v>
      </c>
      <c r="F50" s="2">
        <v>5</v>
      </c>
      <c r="G50" s="2">
        <v>5.4666666666666668</v>
      </c>
      <c r="H50" s="2">
        <v>1.08548</v>
      </c>
      <c r="I50" s="8">
        <v>345.197</v>
      </c>
      <c r="J50">
        <v>3.5793374666666662E-2</v>
      </c>
      <c r="K50">
        <v>3.7372575999999998E-2</v>
      </c>
      <c r="L50">
        <v>3.35</v>
      </c>
    </row>
    <row r="51" spans="1:14" x14ac:dyDescent="0.15">
      <c r="A51" s="1">
        <v>34790</v>
      </c>
      <c r="B51" s="8">
        <v>0.81538999999999995</v>
      </c>
      <c r="C51" s="8">
        <v>-0.41887999999999997</v>
      </c>
      <c r="D51" s="8">
        <v>0.52000999999999997</v>
      </c>
      <c r="E51" s="2">
        <v>1.4629099999999999</v>
      </c>
      <c r="F51" s="2">
        <v>14.28571</v>
      </c>
      <c r="G51" s="2">
        <v>5.666666666666667</v>
      </c>
      <c r="H51" s="2">
        <v>2.04698</v>
      </c>
      <c r="I51" s="8">
        <v>272.113</v>
      </c>
      <c r="J51">
        <v>3.3292601999999998E-2</v>
      </c>
      <c r="K51">
        <v>3.2893111333333336E-2</v>
      </c>
      <c r="L51">
        <v>3.2033333333333331</v>
      </c>
    </row>
    <row r="52" spans="1:14" x14ac:dyDescent="0.15">
      <c r="A52" s="1">
        <v>34881</v>
      </c>
      <c r="B52" s="8">
        <v>0.66363000000000005</v>
      </c>
      <c r="C52" s="8">
        <v>8.4129999999999996E-2</v>
      </c>
      <c r="D52" s="8">
        <v>0.17993999999999999</v>
      </c>
      <c r="E52" s="2">
        <v>1.3188500000000001</v>
      </c>
      <c r="F52" s="2">
        <v>-20.83333</v>
      </c>
      <c r="G52" s="2">
        <v>5.666666666666667</v>
      </c>
      <c r="H52" s="2">
        <v>-0.46037</v>
      </c>
      <c r="I52" s="8">
        <v>288.89299999999997</v>
      </c>
      <c r="J52">
        <v>3.2447513333333337E-2</v>
      </c>
      <c r="K52">
        <v>3.1233996666666666E-2</v>
      </c>
      <c r="L52">
        <v>3.2999999999999994</v>
      </c>
    </row>
    <row r="53" spans="1:14" x14ac:dyDescent="0.15">
      <c r="A53" s="1">
        <v>34973</v>
      </c>
      <c r="B53" s="8">
        <v>0.70045000000000002</v>
      </c>
      <c r="C53" s="8">
        <v>0.36425000000000002</v>
      </c>
      <c r="D53" s="8">
        <v>0.74090999999999996</v>
      </c>
      <c r="E53" s="2">
        <v>1.1403000000000001</v>
      </c>
      <c r="F53" s="2">
        <v>5.2631600000000001</v>
      </c>
      <c r="G53" s="2">
        <v>5.5666666666666664</v>
      </c>
      <c r="H53" s="2">
        <v>-0.23125000000000001</v>
      </c>
      <c r="I53" s="8">
        <v>239.899</v>
      </c>
      <c r="J53">
        <v>2.9553916666666669E-2</v>
      </c>
      <c r="K53">
        <v>2.9762854000000002E-2</v>
      </c>
      <c r="L53">
        <v>3.3633333333333333</v>
      </c>
    </row>
    <row r="54" spans="1:14" x14ac:dyDescent="0.15">
      <c r="A54" s="1">
        <v>35065</v>
      </c>
      <c r="B54" s="8">
        <v>0.67512000000000005</v>
      </c>
      <c r="C54" s="8">
        <v>0.89336000000000004</v>
      </c>
      <c r="D54" s="8">
        <v>1.0474699999999999</v>
      </c>
      <c r="E54" s="2">
        <v>1.48217</v>
      </c>
      <c r="F54" s="2">
        <v>-20</v>
      </c>
      <c r="G54" s="2">
        <v>5.5333333333333332</v>
      </c>
      <c r="H54" s="2">
        <v>0.59602999999999995</v>
      </c>
      <c r="I54" s="8">
        <v>252.28800000000001</v>
      </c>
      <c r="J54">
        <v>2.8467724999999999E-2</v>
      </c>
      <c r="K54">
        <v>2.9038630666666666E-2</v>
      </c>
      <c r="L54">
        <v>3.2966666666666669</v>
      </c>
    </row>
    <row r="55" spans="1:14" x14ac:dyDescent="0.15">
      <c r="A55" s="1">
        <v>35156</v>
      </c>
      <c r="B55" s="8">
        <v>0.58931</v>
      </c>
      <c r="C55" s="8">
        <v>0.91312000000000004</v>
      </c>
      <c r="D55" s="8">
        <v>0.77195000000000003</v>
      </c>
      <c r="E55" s="2">
        <v>1.75288</v>
      </c>
      <c r="F55" s="2">
        <v>18.75</v>
      </c>
      <c r="G55" s="2">
        <v>5.5</v>
      </c>
      <c r="H55" s="2">
        <v>0.39500000000000002</v>
      </c>
      <c r="I55" s="8">
        <v>347.096</v>
      </c>
      <c r="J55">
        <v>3.2024397333333336E-2</v>
      </c>
      <c r="K55">
        <v>3.2487936666666668E-2</v>
      </c>
      <c r="L55">
        <v>3.2666666666666671</v>
      </c>
    </row>
    <row r="56" spans="1:14" x14ac:dyDescent="0.15">
      <c r="A56" s="1">
        <v>35247</v>
      </c>
      <c r="B56" s="8">
        <v>0.64646000000000003</v>
      </c>
      <c r="C56" s="8">
        <v>0.95969000000000004</v>
      </c>
      <c r="D56" s="8">
        <v>1.00678</v>
      </c>
      <c r="E56" s="2">
        <v>1.0337400000000001</v>
      </c>
      <c r="F56" s="2">
        <v>-5.2631600000000001</v>
      </c>
      <c r="G56" s="2">
        <v>5.2666666666666666</v>
      </c>
      <c r="H56" s="2">
        <v>-0.62295</v>
      </c>
      <c r="I56" s="8">
        <v>357.63499999999999</v>
      </c>
      <c r="J56">
        <v>3.1289913000000003E-2</v>
      </c>
      <c r="K56">
        <v>3.2915960666666667E-2</v>
      </c>
      <c r="L56">
        <v>3.2733333333333334</v>
      </c>
    </row>
    <row r="57" spans="1:14" x14ac:dyDescent="0.15">
      <c r="A57" s="1">
        <v>35339</v>
      </c>
      <c r="B57" s="8">
        <v>0.64231000000000005</v>
      </c>
      <c r="C57" s="8">
        <v>0.51602000000000003</v>
      </c>
      <c r="D57" s="8">
        <v>1.32178</v>
      </c>
      <c r="E57" s="2">
        <v>1.48387</v>
      </c>
      <c r="F57" s="2">
        <v>27.77778</v>
      </c>
      <c r="G57" s="2">
        <v>5.333333333333333</v>
      </c>
      <c r="H57" s="2">
        <v>1.3197000000000001</v>
      </c>
      <c r="I57" s="8">
        <v>403.99099999999999</v>
      </c>
      <c r="J57">
        <v>3.080832E-2</v>
      </c>
      <c r="K57">
        <v>3.1699937666666664E-2</v>
      </c>
      <c r="L57">
        <v>3.3866666666666667</v>
      </c>
    </row>
    <row r="58" spans="1:14" x14ac:dyDescent="0.15">
      <c r="A58" s="1">
        <v>35431</v>
      </c>
      <c r="B58" s="8">
        <v>0.57838000000000001</v>
      </c>
      <c r="C58" s="8">
        <v>2.26966</v>
      </c>
      <c r="D58" s="8">
        <v>0.42771999999999999</v>
      </c>
      <c r="E58" s="2">
        <v>1.50078</v>
      </c>
      <c r="F58" s="2">
        <v>-30.43478</v>
      </c>
      <c r="G58" s="2">
        <v>5.2333333333333334</v>
      </c>
      <c r="H58" s="2">
        <v>-1.20482</v>
      </c>
      <c r="I58" s="8">
        <v>413.99700000000001</v>
      </c>
      <c r="J58">
        <v>3.1742476666666665E-2</v>
      </c>
      <c r="K58">
        <v>3.2455742666666669E-2</v>
      </c>
      <c r="L58">
        <v>3.4899999999999998</v>
      </c>
    </row>
    <row r="59" spans="1:14" x14ac:dyDescent="0.15">
      <c r="A59" s="1">
        <v>35521</v>
      </c>
      <c r="B59" s="8">
        <v>0.63453999999999999</v>
      </c>
      <c r="C59" s="8">
        <v>-1.4795199999999999</v>
      </c>
      <c r="D59" s="8">
        <v>4.2590000000000003E-2</v>
      </c>
      <c r="E59" s="2">
        <v>0.70186999999999999</v>
      </c>
      <c r="F59" s="2">
        <v>31.25</v>
      </c>
      <c r="G59" s="2">
        <v>5</v>
      </c>
      <c r="H59" s="2">
        <v>-2.3071899999999999</v>
      </c>
      <c r="I59" s="8">
        <v>422.38900000000001</v>
      </c>
      <c r="J59">
        <v>3.1893510666666659E-2</v>
      </c>
      <c r="K59">
        <v>3.3250242666666666E-2</v>
      </c>
      <c r="L59">
        <v>3.44</v>
      </c>
    </row>
    <row r="60" spans="1:14" x14ac:dyDescent="0.15">
      <c r="A60" s="1">
        <v>35612</v>
      </c>
      <c r="B60" s="8">
        <v>0.4335</v>
      </c>
      <c r="C60" s="8">
        <v>0.10727</v>
      </c>
      <c r="D60" s="8">
        <v>0.57471000000000005</v>
      </c>
      <c r="E60" s="2">
        <v>1.9727399999999999</v>
      </c>
      <c r="F60" s="2">
        <v>-57.142859999999999</v>
      </c>
      <c r="G60" s="2">
        <v>4.8666666666666671</v>
      </c>
      <c r="H60" s="2">
        <v>-0.37112000000000001</v>
      </c>
      <c r="I60" s="8">
        <v>443.322</v>
      </c>
      <c r="J60">
        <v>3.0243427999999999E-2</v>
      </c>
      <c r="K60">
        <v>3.1583393333333341E-2</v>
      </c>
      <c r="L60">
        <v>3.5500000000000003</v>
      </c>
    </row>
    <row r="61" spans="1:14" x14ac:dyDescent="0.15">
      <c r="A61" s="1">
        <v>35704</v>
      </c>
      <c r="B61" s="8">
        <v>0.56896000000000002</v>
      </c>
      <c r="C61" s="8">
        <v>0.66969999999999996</v>
      </c>
      <c r="D61" s="8">
        <v>0.61375999999999997</v>
      </c>
      <c r="E61" s="2">
        <v>1.51397</v>
      </c>
      <c r="F61" s="2">
        <v>44.44444</v>
      </c>
      <c r="G61" s="2">
        <v>4.666666666666667</v>
      </c>
      <c r="H61" s="2">
        <v>-0.47409000000000001</v>
      </c>
      <c r="I61" s="8">
        <v>415.22699999999998</v>
      </c>
      <c r="J61">
        <v>2.9521174333333334E-2</v>
      </c>
      <c r="K61">
        <v>3.0661783666666668E-2</v>
      </c>
      <c r="L61">
        <v>3.686666666666667</v>
      </c>
    </row>
    <row r="62" spans="1:14" x14ac:dyDescent="0.15">
      <c r="A62" s="1">
        <v>35796</v>
      </c>
      <c r="B62" s="8">
        <v>0.60475999999999996</v>
      </c>
      <c r="C62" s="8">
        <v>-2.3948900000000002</v>
      </c>
      <c r="D62" s="8">
        <v>0.75726000000000004</v>
      </c>
      <c r="E62" s="2">
        <v>1.01878</v>
      </c>
      <c r="F62" s="2">
        <v>-7.69231</v>
      </c>
      <c r="G62" s="2">
        <v>4.6333333333333329</v>
      </c>
      <c r="H62" s="2">
        <v>-3.0282399999999998</v>
      </c>
      <c r="I62" s="8">
        <v>423.71499999999997</v>
      </c>
      <c r="J62">
        <v>2.7487349333333338E-2</v>
      </c>
      <c r="K62">
        <v>2.9368389999999998E-2</v>
      </c>
      <c r="L62">
        <v>3.7966666666666669</v>
      </c>
      <c r="N62">
        <v>-0.50740934522820769</v>
      </c>
    </row>
    <row r="63" spans="1:14" x14ac:dyDescent="0.15">
      <c r="A63" s="1">
        <v>35886</v>
      </c>
      <c r="B63" s="8">
        <v>0.56233999999999995</v>
      </c>
      <c r="C63" s="8">
        <v>-0.13630999999999999</v>
      </c>
      <c r="D63" s="8">
        <v>0.25052000000000002</v>
      </c>
      <c r="E63" s="2">
        <v>1.9441900000000001</v>
      </c>
      <c r="F63" s="2">
        <v>0</v>
      </c>
      <c r="G63" s="2">
        <v>4.4000000000000004</v>
      </c>
      <c r="H63" s="2">
        <v>-1.5087699999999999</v>
      </c>
      <c r="I63" s="8">
        <v>353.64600000000002</v>
      </c>
      <c r="J63">
        <v>2.6122002000000002E-2</v>
      </c>
      <c r="K63">
        <v>2.939082933333333E-2</v>
      </c>
      <c r="L63">
        <v>3.813333333333333</v>
      </c>
      <c r="N63">
        <v>-0.41906700247441164</v>
      </c>
    </row>
    <row r="64" spans="1:14" x14ac:dyDescent="0.15">
      <c r="A64" s="1">
        <v>35977</v>
      </c>
      <c r="B64" s="8">
        <v>0.59775999999999996</v>
      </c>
      <c r="C64" s="8">
        <v>-1.1193</v>
      </c>
      <c r="D64" s="8">
        <v>0.49979000000000001</v>
      </c>
      <c r="E64" s="2">
        <v>1.6167800000000001</v>
      </c>
      <c r="F64" s="2">
        <v>16.66667</v>
      </c>
      <c r="G64" s="2">
        <v>4.5333333333333332</v>
      </c>
      <c r="H64" s="2">
        <v>-1.4962599999999999</v>
      </c>
      <c r="I64" s="8">
        <v>360.22800000000001</v>
      </c>
      <c r="J64">
        <v>2.6607547333333332E-2</v>
      </c>
      <c r="K64">
        <v>2.8607493333333334E-2</v>
      </c>
      <c r="L64">
        <v>3.76</v>
      </c>
      <c r="N64">
        <v>-0.86171632570018986</v>
      </c>
    </row>
    <row r="65" spans="1:14" x14ac:dyDescent="0.15">
      <c r="A65" s="1">
        <v>36069</v>
      </c>
      <c r="B65" s="8">
        <v>0.55588000000000004</v>
      </c>
      <c r="C65" s="8">
        <v>-0.66261999999999999</v>
      </c>
      <c r="D65" s="8">
        <v>0.78739999999999999</v>
      </c>
      <c r="E65" s="2">
        <v>1.7102900000000001</v>
      </c>
      <c r="F65" s="2">
        <v>-7.1428599999999998</v>
      </c>
      <c r="G65" s="2">
        <v>4.4333333333333336</v>
      </c>
      <c r="H65" s="2">
        <v>-0.50632999999999995</v>
      </c>
      <c r="I65" s="8">
        <v>416.738</v>
      </c>
      <c r="J65">
        <v>2.3254917333333333E-2</v>
      </c>
      <c r="K65">
        <v>2.4843892333333329E-2</v>
      </c>
      <c r="L65">
        <v>3.7366666666666668</v>
      </c>
      <c r="N65">
        <v>-0.67089909338183651</v>
      </c>
    </row>
    <row r="66" spans="1:14" x14ac:dyDescent="0.15">
      <c r="A66" s="1">
        <v>36161</v>
      </c>
      <c r="B66" s="8">
        <v>0.43842999999999999</v>
      </c>
      <c r="C66" s="8">
        <v>0.30573</v>
      </c>
      <c r="D66" s="8">
        <v>0.78125</v>
      </c>
      <c r="E66" s="2">
        <v>1.22424</v>
      </c>
      <c r="F66" s="2">
        <v>-23.076920000000001</v>
      </c>
      <c r="G66" s="2">
        <v>4.3</v>
      </c>
      <c r="H66" s="2">
        <v>-0.39984999999999998</v>
      </c>
      <c r="I66" s="8">
        <v>423.61700000000002</v>
      </c>
      <c r="J66">
        <v>2.5083721333333333E-2</v>
      </c>
      <c r="K66">
        <v>2.6671926000000002E-2</v>
      </c>
      <c r="L66">
        <v>3.98</v>
      </c>
      <c r="N66">
        <v>-0.14583233678632293</v>
      </c>
    </row>
    <row r="67" spans="1:14" x14ac:dyDescent="0.15">
      <c r="A67" s="1">
        <v>36251</v>
      </c>
      <c r="B67" s="8">
        <v>0.47447</v>
      </c>
      <c r="C67" s="8">
        <v>-0.19395999999999999</v>
      </c>
      <c r="D67" s="8">
        <v>0.10199999999999999</v>
      </c>
      <c r="E67" s="2">
        <v>2.1074899999999999</v>
      </c>
      <c r="F67" s="2">
        <v>40</v>
      </c>
      <c r="G67" s="2">
        <v>4.2666666666666666</v>
      </c>
      <c r="H67" s="2">
        <v>1.6058399999999999</v>
      </c>
      <c r="I67" s="8">
        <v>435.70100000000002</v>
      </c>
      <c r="J67">
        <v>2.5968042333333333E-2</v>
      </c>
      <c r="K67">
        <v>2.8608256666666665E-2</v>
      </c>
      <c r="L67">
        <v>3.8466666666666662</v>
      </c>
      <c r="N67">
        <v>-0.30377679968426258</v>
      </c>
    </row>
    <row r="68" spans="1:14" x14ac:dyDescent="0.15">
      <c r="A68" s="1">
        <v>36342</v>
      </c>
      <c r="B68" s="8">
        <v>0.52890000000000004</v>
      </c>
      <c r="C68" s="8">
        <v>0.83287</v>
      </c>
      <c r="D68" s="8">
        <v>0.38719999999999999</v>
      </c>
      <c r="E68" s="2">
        <v>1.68041</v>
      </c>
      <c r="F68" s="2">
        <v>7.1428599999999998</v>
      </c>
      <c r="G68" s="2">
        <v>4.2333333333333334</v>
      </c>
      <c r="H68" s="2">
        <v>2.15517</v>
      </c>
      <c r="I68" s="8">
        <v>451.49200000000002</v>
      </c>
      <c r="J68">
        <v>2.7673423000000003E-2</v>
      </c>
      <c r="K68">
        <v>3.0533912999999999E-2</v>
      </c>
      <c r="L68">
        <v>3.7900000000000005</v>
      </c>
      <c r="N68">
        <v>-0.46415696804020801</v>
      </c>
    </row>
    <row r="69" spans="1:14" x14ac:dyDescent="0.15">
      <c r="A69" s="1">
        <v>36434</v>
      </c>
      <c r="B69" s="8">
        <v>0.56369999999999998</v>
      </c>
      <c r="C69" s="8">
        <v>0.74339</v>
      </c>
      <c r="D69" s="8">
        <v>0.62931000000000004</v>
      </c>
      <c r="E69" s="2">
        <v>2.0788199999999999</v>
      </c>
      <c r="F69" s="2">
        <v>26.66667</v>
      </c>
      <c r="G69" s="2">
        <v>4.0666666666666664</v>
      </c>
      <c r="H69" s="2">
        <v>2.0042200000000001</v>
      </c>
      <c r="I69" s="8">
        <v>492.98599999999999</v>
      </c>
      <c r="J69">
        <v>3.0087436666666665E-2</v>
      </c>
      <c r="K69">
        <v>3.1671528999999997E-2</v>
      </c>
      <c r="L69">
        <v>3.8733333333333335</v>
      </c>
      <c r="N69">
        <v>-0.15281983528445864</v>
      </c>
    </row>
    <row r="70" spans="1:14" x14ac:dyDescent="0.15">
      <c r="A70" s="1">
        <v>36526</v>
      </c>
      <c r="B70" s="8">
        <v>0.65395999999999999</v>
      </c>
      <c r="C70" s="8">
        <v>0.57393000000000005</v>
      </c>
      <c r="D70" s="8">
        <v>0.64554999999999996</v>
      </c>
      <c r="E70" s="2">
        <v>2.3380100000000001</v>
      </c>
      <c r="F70" s="2">
        <v>10.52632</v>
      </c>
      <c r="G70" s="2">
        <v>4.0333333333333332</v>
      </c>
      <c r="H70" s="2">
        <v>2.5163700000000002</v>
      </c>
      <c r="I70" s="8">
        <v>455.56900000000002</v>
      </c>
      <c r="J70">
        <v>3.1587374666666668E-2</v>
      </c>
      <c r="K70">
        <v>3.3172853333333335E-2</v>
      </c>
      <c r="L70">
        <v>4.083333333333333</v>
      </c>
      <c r="N70">
        <v>-0.41619832683986019</v>
      </c>
    </row>
    <row r="71" spans="1:14" x14ac:dyDescent="0.15">
      <c r="A71" s="1">
        <v>36617</v>
      </c>
      <c r="B71" s="8">
        <v>0.63114999999999999</v>
      </c>
      <c r="C71" s="8">
        <v>1.79348</v>
      </c>
      <c r="D71" s="8">
        <v>0.46100999999999998</v>
      </c>
      <c r="E71" s="2">
        <v>1.4152800000000001</v>
      </c>
      <c r="F71" s="2">
        <v>-33.333329999999997</v>
      </c>
      <c r="G71" s="2">
        <v>3.9333333333333331</v>
      </c>
      <c r="H71" s="2">
        <v>3.3619999999999997E-2</v>
      </c>
      <c r="I71" s="8">
        <v>571.40700000000004</v>
      </c>
      <c r="J71">
        <v>3.4111668333333324E-2</v>
      </c>
      <c r="K71">
        <v>3.2589821999999997E-2</v>
      </c>
      <c r="L71">
        <v>3.8800000000000003</v>
      </c>
      <c r="N71">
        <v>0.16897741617846188</v>
      </c>
    </row>
    <row r="72" spans="1:14" x14ac:dyDescent="0.15">
      <c r="A72" s="1">
        <v>36708</v>
      </c>
      <c r="B72" s="8">
        <v>0.66408</v>
      </c>
      <c r="C72" s="8">
        <v>4.0309699999999999</v>
      </c>
      <c r="D72" s="8">
        <v>0.89785000000000004</v>
      </c>
      <c r="E72" s="2">
        <v>1.61008</v>
      </c>
      <c r="F72" s="2">
        <v>35.714289999999998</v>
      </c>
      <c r="G72" s="2">
        <v>4</v>
      </c>
      <c r="H72" s="2">
        <v>1.5798300000000001</v>
      </c>
      <c r="I72" s="8">
        <v>474.286</v>
      </c>
      <c r="J72">
        <v>3.1279634666666667E-2</v>
      </c>
      <c r="K72">
        <v>3.0476560666666666E-2</v>
      </c>
      <c r="L72">
        <v>3.7166666666666668</v>
      </c>
      <c r="N72">
        <v>5.8541365105027728E-2</v>
      </c>
    </row>
    <row r="73" spans="1:14" x14ac:dyDescent="0.15">
      <c r="A73" s="1">
        <v>36800</v>
      </c>
      <c r="B73" s="8">
        <v>0.60472999999999999</v>
      </c>
      <c r="C73" s="8">
        <v>3.6438299999999999</v>
      </c>
      <c r="D73" s="8">
        <v>0.45482</v>
      </c>
      <c r="E73" s="2">
        <v>1.44624</v>
      </c>
      <c r="F73" s="2">
        <v>5.2631600000000001</v>
      </c>
      <c r="G73" s="2">
        <v>3.9</v>
      </c>
      <c r="H73" s="2">
        <v>0.23163</v>
      </c>
      <c r="I73" s="8">
        <v>375.101</v>
      </c>
      <c r="J73">
        <v>3.1241631000000002E-2</v>
      </c>
      <c r="K73">
        <v>2.9310508333333332E-2</v>
      </c>
      <c r="L73">
        <v>3.6033333333333331</v>
      </c>
      <c r="N73">
        <v>-0.68730361827772002</v>
      </c>
    </row>
    <row r="74" spans="1:14" x14ac:dyDescent="0.15">
      <c r="A74" s="1">
        <v>36892</v>
      </c>
      <c r="B74" s="8">
        <v>0.72860000000000003</v>
      </c>
      <c r="C74" s="8">
        <v>8.7645499999999998</v>
      </c>
      <c r="D74" s="8">
        <v>1.1614199999999999</v>
      </c>
      <c r="E74" s="2">
        <v>1.1086100000000001</v>
      </c>
      <c r="F74" s="2">
        <v>30</v>
      </c>
      <c r="G74" s="2">
        <v>4.2333333333333334</v>
      </c>
      <c r="H74" s="2">
        <v>-1.3866000000000001</v>
      </c>
      <c r="I74" s="8">
        <v>318.06700000000001</v>
      </c>
      <c r="J74">
        <v>2.4760114E-2</v>
      </c>
      <c r="K74">
        <v>2.5579322333333331E-2</v>
      </c>
      <c r="L74">
        <v>1.3257450316354198</v>
      </c>
      <c r="M74" s="2">
        <v>0.91324000000000005</v>
      </c>
      <c r="N74">
        <v>-0.72502948905563847</v>
      </c>
    </row>
    <row r="75" spans="1:14" x14ac:dyDescent="0.15">
      <c r="A75" s="1">
        <v>36982</v>
      </c>
      <c r="B75" s="8">
        <v>0.61482999999999999</v>
      </c>
      <c r="C75" s="8">
        <v>-0.61460999999999999</v>
      </c>
      <c r="D75" s="8">
        <v>0.68106999999999995</v>
      </c>
      <c r="E75" s="2">
        <v>0.67093000000000003</v>
      </c>
      <c r="F75" s="2">
        <v>-42.307690000000001</v>
      </c>
      <c r="G75" s="2">
        <v>4.4000000000000004</v>
      </c>
      <c r="H75" s="2">
        <v>-1.7743599999999999</v>
      </c>
      <c r="I75" s="8">
        <v>207.03800000000001</v>
      </c>
      <c r="J75">
        <v>2.6780914999999999E-2</v>
      </c>
      <c r="K75">
        <v>2.7313428333333334E-2</v>
      </c>
      <c r="L75">
        <v>1.3517296193808708</v>
      </c>
      <c r="M75" s="2">
        <v>0.90498000000000001</v>
      </c>
      <c r="N75">
        <v>-0.90591813538832644</v>
      </c>
    </row>
    <row r="76" spans="1:14" x14ac:dyDescent="0.15">
      <c r="A76" s="1">
        <v>37073</v>
      </c>
      <c r="B76" s="8">
        <v>0.68296000000000001</v>
      </c>
      <c r="C76" s="8">
        <v>-2.6568900000000002</v>
      </c>
      <c r="D76" s="8">
        <v>0.79242000000000001</v>
      </c>
      <c r="E76" s="2">
        <v>0.39901999999999999</v>
      </c>
      <c r="F76" s="2">
        <v>-33.333329999999997</v>
      </c>
      <c r="G76" s="2">
        <v>4.833333333333333</v>
      </c>
      <c r="H76" s="2">
        <v>-1.84049</v>
      </c>
      <c r="I76" s="8">
        <v>123.018</v>
      </c>
      <c r="J76">
        <v>2.796341166666667E-2</v>
      </c>
      <c r="K76">
        <v>2.7474822999999999E-2</v>
      </c>
      <c r="L76">
        <v>1.6089790805953577</v>
      </c>
      <c r="M76" s="2">
        <v>0.89685999999999999</v>
      </c>
      <c r="N76">
        <v>-0.71937145259864599</v>
      </c>
    </row>
    <row r="77" spans="1:14" x14ac:dyDescent="0.15">
      <c r="A77" s="1">
        <v>37165</v>
      </c>
      <c r="B77" s="8">
        <v>0.66047999999999996</v>
      </c>
      <c r="C77" s="8">
        <v>-4.0941200000000002</v>
      </c>
      <c r="D77" s="8">
        <v>0.51773999999999998</v>
      </c>
      <c r="E77" s="2">
        <v>1.6543300000000001</v>
      </c>
      <c r="F77" s="2">
        <v>90</v>
      </c>
      <c r="G77" s="2">
        <v>5.5</v>
      </c>
      <c r="H77" s="2">
        <v>-3.6805599999999998</v>
      </c>
      <c r="I77" s="8">
        <v>69.350999999999999</v>
      </c>
      <c r="J77">
        <v>2.3680020333333333E-2</v>
      </c>
      <c r="K77">
        <v>2.5212699666666668E-2</v>
      </c>
      <c r="L77">
        <v>2.2085304766563558</v>
      </c>
      <c r="M77" s="2">
        <v>0.77778000000000003</v>
      </c>
      <c r="N77">
        <v>-1.2206577427403709</v>
      </c>
    </row>
    <row r="78" spans="1:14" x14ac:dyDescent="0.15">
      <c r="A78" s="1">
        <v>37257</v>
      </c>
      <c r="B78" s="8">
        <v>0.54974000000000001</v>
      </c>
      <c r="C78" s="8">
        <v>-1.1530899999999999</v>
      </c>
      <c r="D78" s="8">
        <v>0.68676000000000004</v>
      </c>
      <c r="E78" s="2">
        <v>0.42342999999999997</v>
      </c>
      <c r="F78" s="2">
        <v>-36.842109999999998</v>
      </c>
      <c r="G78" s="2">
        <v>5.7</v>
      </c>
      <c r="H78" s="2">
        <v>-0.50468999999999997</v>
      </c>
      <c r="I78" s="8">
        <v>168.62799999999999</v>
      </c>
      <c r="J78">
        <v>2.1499735333333336E-2</v>
      </c>
      <c r="K78">
        <v>2.7356563E-2</v>
      </c>
      <c r="L78">
        <v>2.5298899896304969</v>
      </c>
      <c r="M78" s="2">
        <v>0.99228000000000005</v>
      </c>
      <c r="N78">
        <v>-0.58465544361180088</v>
      </c>
    </row>
    <row r="79" spans="1:14" x14ac:dyDescent="0.15">
      <c r="A79" s="1">
        <v>37347</v>
      </c>
      <c r="B79" s="8">
        <v>0.51146000000000003</v>
      </c>
      <c r="C79" s="8">
        <v>-0.14892</v>
      </c>
      <c r="D79" s="8">
        <v>0</v>
      </c>
      <c r="E79" s="2">
        <v>1.2501599999999999</v>
      </c>
      <c r="F79" s="2">
        <v>83.333330000000004</v>
      </c>
      <c r="G79" s="2">
        <v>5.833333333333333</v>
      </c>
      <c r="H79" s="2">
        <v>2.4637699999999998</v>
      </c>
      <c r="I79" s="8">
        <v>145.77600000000001</v>
      </c>
      <c r="J79">
        <v>2.5161368666666666E-2</v>
      </c>
      <c r="K79">
        <v>2.8250629999999999E-2</v>
      </c>
      <c r="L79">
        <v>2.3189537512979235</v>
      </c>
      <c r="M79" s="2">
        <v>0.43668000000000001</v>
      </c>
      <c r="N79">
        <v>-0.48331596103778768</v>
      </c>
    </row>
    <row r="80" spans="1:14" x14ac:dyDescent="0.15">
      <c r="A80" s="1">
        <v>37438</v>
      </c>
      <c r="B80" s="8">
        <v>0.52641000000000004</v>
      </c>
      <c r="C80" s="8">
        <v>-0.32313999999999998</v>
      </c>
      <c r="D80" s="8">
        <v>0.11368</v>
      </c>
      <c r="E80" s="2">
        <v>1.2201299999999999</v>
      </c>
      <c r="F80" s="2">
        <v>-4.5454499999999998</v>
      </c>
      <c r="G80" s="2">
        <v>5.7333333333333334</v>
      </c>
      <c r="H80" s="2">
        <v>0.70721000000000001</v>
      </c>
      <c r="I80" s="8">
        <v>242.75</v>
      </c>
      <c r="J80">
        <v>2.1735607666666667E-2</v>
      </c>
      <c r="K80">
        <v>2.4191783999999997E-2</v>
      </c>
      <c r="L80">
        <v>2.3436095718820211</v>
      </c>
      <c r="M80" s="2">
        <v>0.32608999999999999</v>
      </c>
      <c r="N80">
        <v>-1.0221304762641064</v>
      </c>
    </row>
    <row r="81" spans="1:14" x14ac:dyDescent="0.15">
      <c r="A81" s="1">
        <v>37530</v>
      </c>
      <c r="B81" s="8">
        <v>0.45383000000000001</v>
      </c>
      <c r="C81" s="8">
        <v>1.4962599999999999</v>
      </c>
      <c r="D81" s="8">
        <v>0.41635</v>
      </c>
      <c r="E81" s="2">
        <v>1.0251699999999999</v>
      </c>
      <c r="F81" s="2">
        <v>-33.333329999999997</v>
      </c>
      <c r="G81" s="2">
        <v>5.8666666666666671</v>
      </c>
      <c r="H81" s="2">
        <v>0.17555999999999999</v>
      </c>
      <c r="I81" s="8">
        <v>252.196</v>
      </c>
      <c r="J81">
        <v>1.9956968000000002E-2</v>
      </c>
      <c r="K81">
        <v>2.2136470000000002E-2</v>
      </c>
      <c r="L81">
        <v>2.6176017015345501</v>
      </c>
      <c r="M81" s="2">
        <v>1.08342</v>
      </c>
      <c r="N81">
        <v>-0.85168610784252285</v>
      </c>
    </row>
    <row r="82" spans="1:14" x14ac:dyDescent="0.15">
      <c r="A82" s="1">
        <v>37622</v>
      </c>
      <c r="B82" s="8">
        <v>0.33015</v>
      </c>
      <c r="C82" s="8">
        <v>4.1031899999999997</v>
      </c>
      <c r="D82" s="8">
        <v>0.71616999999999997</v>
      </c>
      <c r="E82" s="2">
        <v>1.2601</v>
      </c>
      <c r="F82" s="2">
        <v>-14.28571</v>
      </c>
      <c r="G82" s="2">
        <v>5.8666666666666671</v>
      </c>
      <c r="H82" s="2">
        <v>3.2246800000000002</v>
      </c>
      <c r="I82" s="8">
        <v>229.92400000000001</v>
      </c>
      <c r="J82">
        <v>2.0296309666666668E-2</v>
      </c>
      <c r="K82">
        <v>2.1892966333333333E-2</v>
      </c>
      <c r="L82">
        <v>2.9073872293275209</v>
      </c>
      <c r="M82" s="2">
        <v>0.53591</v>
      </c>
      <c r="N82">
        <v>-0.38544778998543361</v>
      </c>
    </row>
    <row r="83" spans="1:14" x14ac:dyDescent="0.15">
      <c r="A83" s="1">
        <v>37712</v>
      </c>
      <c r="B83" s="8">
        <v>0.17319000000000001</v>
      </c>
      <c r="C83" s="8">
        <v>3.6818499999999998</v>
      </c>
      <c r="D83" s="8">
        <v>0.4491</v>
      </c>
      <c r="E83" s="2">
        <v>1.2466200000000001</v>
      </c>
      <c r="F83" s="2">
        <v>25</v>
      </c>
      <c r="G83" s="2">
        <v>6.1333333333333329</v>
      </c>
      <c r="H83" s="2">
        <v>-2.3769100000000001</v>
      </c>
      <c r="I83" s="8">
        <v>261.88799999999998</v>
      </c>
      <c r="J83">
        <v>2.0375916999999997E-2</v>
      </c>
      <c r="K83">
        <v>2.0708606666666667E-2</v>
      </c>
      <c r="L83">
        <v>2.6047011590112179</v>
      </c>
      <c r="M83" s="2">
        <v>0.95948999999999995</v>
      </c>
      <c r="N83">
        <v>-0.27172699484483043</v>
      </c>
    </row>
    <row r="84" spans="1:14" x14ac:dyDescent="0.15">
      <c r="A84" s="1">
        <v>37803</v>
      </c>
      <c r="B84" s="8">
        <v>0.39765</v>
      </c>
      <c r="C84" s="8">
        <v>0.27316000000000001</v>
      </c>
      <c r="D84" s="8">
        <v>0.74516000000000004</v>
      </c>
      <c r="E84" s="2">
        <v>2.08141</v>
      </c>
      <c r="F84" s="2">
        <v>20</v>
      </c>
      <c r="G84" s="2">
        <v>6.1333333333333329</v>
      </c>
      <c r="H84" s="2">
        <v>0.73043000000000002</v>
      </c>
      <c r="I84" s="8">
        <v>433.41399999999999</v>
      </c>
      <c r="J84">
        <v>1.8198124E-2</v>
      </c>
      <c r="K84">
        <v>2.2198460999999999E-2</v>
      </c>
      <c r="L84">
        <v>2.7526653523195459</v>
      </c>
      <c r="M84" s="2">
        <v>0.52798</v>
      </c>
      <c r="N84">
        <v>1.245090196925284E-2</v>
      </c>
    </row>
    <row r="85" spans="1:14" x14ac:dyDescent="0.15">
      <c r="A85" s="1">
        <v>37895</v>
      </c>
      <c r="B85" s="8">
        <v>0.25830999999999998</v>
      </c>
      <c r="C85" s="8">
        <v>-0.65834000000000004</v>
      </c>
      <c r="D85" s="8">
        <v>1.27589</v>
      </c>
      <c r="E85" s="2">
        <v>1.1831499999999999</v>
      </c>
      <c r="F85" s="2">
        <v>0</v>
      </c>
      <c r="G85" s="2">
        <v>5.833333333333333</v>
      </c>
      <c r="H85" s="2">
        <v>0.3453</v>
      </c>
      <c r="I85" s="8">
        <v>552.68100000000004</v>
      </c>
      <c r="J85">
        <v>1.9809389333333333E-2</v>
      </c>
      <c r="K85">
        <v>2.2542806999999998E-2</v>
      </c>
      <c r="L85">
        <v>2.6237427442208072</v>
      </c>
      <c r="M85" s="2">
        <v>0.52520999999999995</v>
      </c>
      <c r="N85">
        <v>-0.33445589101878131</v>
      </c>
    </row>
    <row r="86" spans="1:14" x14ac:dyDescent="0.15">
      <c r="A86" s="1">
        <v>37987</v>
      </c>
      <c r="B86" s="8">
        <v>0.48093000000000002</v>
      </c>
      <c r="C86" s="8">
        <v>1.0968899999999999</v>
      </c>
      <c r="D86" s="8">
        <v>0.83987999999999996</v>
      </c>
      <c r="E86" s="2">
        <v>1.70974</v>
      </c>
      <c r="F86" s="2">
        <v>22.22222</v>
      </c>
      <c r="G86" s="2">
        <v>5.7</v>
      </c>
      <c r="H86" s="2">
        <v>2.75292</v>
      </c>
      <c r="I86" s="8">
        <v>572.94100000000003</v>
      </c>
      <c r="J86">
        <v>1.8661496999999999E-2</v>
      </c>
      <c r="K86">
        <v>2.2546310333333333E-2</v>
      </c>
      <c r="L86">
        <v>2.6032336871634048</v>
      </c>
      <c r="M86" s="2">
        <v>0.73145000000000004</v>
      </c>
      <c r="N86">
        <v>-0.30865541048650236</v>
      </c>
    </row>
    <row r="87" spans="1:14" x14ac:dyDescent="0.15">
      <c r="A87" s="1">
        <v>38078</v>
      </c>
      <c r="B87" s="8">
        <v>0.63248000000000004</v>
      </c>
      <c r="C87" s="8">
        <v>0.85894999999999999</v>
      </c>
      <c r="D87" s="8">
        <v>0.83287999999999995</v>
      </c>
      <c r="E87" s="2">
        <v>1.2217199999999999</v>
      </c>
      <c r="F87" s="2">
        <v>4.5454499999999998</v>
      </c>
      <c r="G87" s="2">
        <v>5.6</v>
      </c>
      <c r="H87" s="2">
        <v>1.80844</v>
      </c>
      <c r="I87" s="8">
        <v>617.34500000000003</v>
      </c>
      <c r="J87">
        <v>2.2136490999999998E-2</v>
      </c>
      <c r="K87">
        <v>2.3900448000000001E-2</v>
      </c>
      <c r="L87">
        <v>2.222896676276557</v>
      </c>
      <c r="M87" s="2">
        <v>0.82987999999999995</v>
      </c>
      <c r="N87">
        <v>0.35919820166653227</v>
      </c>
    </row>
    <row r="88" spans="1:14" x14ac:dyDescent="0.15">
      <c r="A88" s="1">
        <v>38169</v>
      </c>
      <c r="B88" s="8">
        <v>0.42465999999999998</v>
      </c>
      <c r="C88" s="8">
        <v>2.2859699999999998</v>
      </c>
      <c r="D88" s="8">
        <v>0.61051999999999995</v>
      </c>
      <c r="E88" s="2">
        <v>1.6721699999999999</v>
      </c>
      <c r="F88" s="2">
        <v>-39.130429999999997</v>
      </c>
      <c r="G88" s="2">
        <v>5.4333333333333336</v>
      </c>
      <c r="H88" s="2">
        <v>1.9078900000000001</v>
      </c>
      <c r="I88" s="8">
        <v>546.88499999999999</v>
      </c>
      <c r="J88">
        <v>2.4244902000000002E-2</v>
      </c>
      <c r="K88">
        <v>2.4431247999999999E-2</v>
      </c>
      <c r="L88">
        <v>2.0712333629111277</v>
      </c>
      <c r="M88" s="2">
        <v>0.51439999999999997</v>
      </c>
      <c r="N88">
        <v>-0.15353222497575897</v>
      </c>
    </row>
    <row r="89" spans="1:14" x14ac:dyDescent="0.15">
      <c r="A89" s="1">
        <v>38261</v>
      </c>
      <c r="B89" s="8">
        <v>0.60892999999999997</v>
      </c>
      <c r="C89" s="8">
        <v>1.3803700000000001</v>
      </c>
      <c r="D89" s="8">
        <v>0.76744999999999997</v>
      </c>
      <c r="E89" s="2">
        <v>1.9959800000000001</v>
      </c>
      <c r="F89" s="2">
        <v>57.142859999999999</v>
      </c>
      <c r="G89" s="2">
        <v>5.4333333333333336</v>
      </c>
      <c r="H89" s="2">
        <v>1.7753399999999999</v>
      </c>
      <c r="I89" s="8">
        <v>574.65800000000002</v>
      </c>
      <c r="J89">
        <v>2.0350611666666667E-2</v>
      </c>
      <c r="K89">
        <v>2.3348616333333336E-2</v>
      </c>
      <c r="L89">
        <v>2.1478561518567001</v>
      </c>
      <c r="M89" s="2">
        <v>0.61412</v>
      </c>
      <c r="N89">
        <v>-0.18801520112838477</v>
      </c>
    </row>
    <row r="90" spans="1:14" x14ac:dyDescent="0.15">
      <c r="A90" s="1">
        <v>38353</v>
      </c>
      <c r="B90" s="8">
        <v>0.62205999999999995</v>
      </c>
      <c r="C90" s="8">
        <v>0.92932999999999999</v>
      </c>
      <c r="D90" s="8">
        <v>0.42508000000000001</v>
      </c>
      <c r="E90" s="2">
        <v>1.2199199999999999</v>
      </c>
      <c r="F90" s="2">
        <v>31.818180000000002</v>
      </c>
      <c r="G90" s="2">
        <v>5.3</v>
      </c>
      <c r="H90" s="2">
        <v>0.82460999999999995</v>
      </c>
      <c r="I90" s="8">
        <v>688.35599999999999</v>
      </c>
      <c r="J90">
        <v>2.2039482333333332E-2</v>
      </c>
      <c r="K90">
        <v>2.4047694999999997E-2</v>
      </c>
      <c r="L90">
        <v>2.1587105124769419</v>
      </c>
      <c r="M90" s="2">
        <v>0.50865000000000005</v>
      </c>
      <c r="N90">
        <v>-0.1729841134028022</v>
      </c>
    </row>
    <row r="91" spans="1:14" x14ac:dyDescent="0.15">
      <c r="A91" s="1">
        <v>38443</v>
      </c>
      <c r="B91" s="8">
        <v>0.46783999999999998</v>
      </c>
      <c r="C91" s="8">
        <v>2.86938</v>
      </c>
      <c r="D91" s="8">
        <v>0.74073999999999995</v>
      </c>
      <c r="E91" s="2">
        <v>1.74701</v>
      </c>
      <c r="F91" s="2">
        <v>-31.034479999999999</v>
      </c>
      <c r="G91" s="2">
        <v>5.0999999999999996</v>
      </c>
      <c r="H91" s="2">
        <v>2.5165099999999998</v>
      </c>
      <c r="I91" s="8">
        <v>658.505</v>
      </c>
      <c r="J91">
        <v>2.4674190333333332E-2</v>
      </c>
      <c r="K91">
        <v>2.4067037333333336E-2</v>
      </c>
      <c r="L91">
        <v>1.8127847739697793</v>
      </c>
      <c r="M91" s="2">
        <v>0.60729</v>
      </c>
      <c r="N91">
        <v>-1.0636656476427275</v>
      </c>
    </row>
    <row r="92" spans="1:14" x14ac:dyDescent="0.15">
      <c r="A92" s="1">
        <v>38534</v>
      </c>
      <c r="B92" s="8">
        <v>0.33261000000000002</v>
      </c>
      <c r="C92" s="8">
        <v>4.2048300000000003</v>
      </c>
      <c r="D92" s="8">
        <v>0.33262999999999998</v>
      </c>
      <c r="E92" s="2">
        <v>1.9189099999999999</v>
      </c>
      <c r="F92" s="2">
        <v>-20</v>
      </c>
      <c r="G92" s="2">
        <v>4.9666666666666668</v>
      </c>
      <c r="H92" s="2">
        <v>3.4059499999999998</v>
      </c>
      <c r="I92" s="8">
        <v>692.76199999999994</v>
      </c>
      <c r="J92">
        <v>2.3831456666666667E-2</v>
      </c>
      <c r="K92">
        <v>2.3948087666666663E-2</v>
      </c>
      <c r="L92">
        <v>1.6973617661352318</v>
      </c>
      <c r="M92" s="2">
        <v>0.70423000000000002</v>
      </c>
      <c r="N92">
        <v>-0.43360888861236502</v>
      </c>
    </row>
    <row r="93" spans="1:14" x14ac:dyDescent="0.15">
      <c r="A93" s="1">
        <v>38626</v>
      </c>
      <c r="B93" s="8">
        <v>0.66302000000000005</v>
      </c>
      <c r="C93" s="8">
        <v>9.8881300000000003</v>
      </c>
      <c r="D93" s="8">
        <v>0.75031000000000003</v>
      </c>
      <c r="E93" s="2">
        <v>0.98292000000000002</v>
      </c>
      <c r="F93" s="2">
        <v>68.75</v>
      </c>
      <c r="G93" s="2">
        <v>4.9666666666666668</v>
      </c>
      <c r="H93" s="2">
        <v>0.62314999999999998</v>
      </c>
      <c r="I93" s="8">
        <v>665.49099999999999</v>
      </c>
      <c r="J93">
        <v>3.0418845666666666E-2</v>
      </c>
      <c r="K93">
        <v>2.5651290999999996E-2</v>
      </c>
      <c r="L93">
        <v>1.7722095450660893</v>
      </c>
      <c r="M93" s="2">
        <v>0.69930000000000003</v>
      </c>
      <c r="N93">
        <v>-0.48204382800769618</v>
      </c>
    </row>
    <row r="94" spans="1:14" x14ac:dyDescent="0.15">
      <c r="A94" s="1">
        <v>38718</v>
      </c>
      <c r="B94" s="8">
        <v>0.62572000000000005</v>
      </c>
      <c r="C94" s="8">
        <v>1.4724600000000001</v>
      </c>
      <c r="D94" s="8">
        <v>0.81398999999999999</v>
      </c>
      <c r="E94" s="2">
        <v>1.6180399999999999</v>
      </c>
      <c r="F94" s="2">
        <v>-14.81481</v>
      </c>
      <c r="G94" s="2">
        <v>4.7333333333333334</v>
      </c>
      <c r="H94" s="2">
        <v>2.9489999999999999E-2</v>
      </c>
      <c r="I94" s="8">
        <v>695.43499999999995</v>
      </c>
      <c r="J94">
        <v>2.2265568333333333E-2</v>
      </c>
      <c r="K94">
        <v>2.4788541000000001E-2</v>
      </c>
      <c r="L94">
        <v>1.7150107952079872</v>
      </c>
      <c r="M94" s="2">
        <v>0.79364999999999997</v>
      </c>
      <c r="N94">
        <v>-0.51544945095580152</v>
      </c>
    </row>
    <row r="95" spans="1:14" x14ac:dyDescent="0.15">
      <c r="A95" s="1">
        <v>38808</v>
      </c>
      <c r="B95" s="8">
        <v>0.81820000000000004</v>
      </c>
      <c r="C95" s="8">
        <v>-2.8842699999999999</v>
      </c>
      <c r="D95" s="8">
        <v>5.1540000000000002E-2</v>
      </c>
      <c r="E95" s="2">
        <v>1.40107</v>
      </c>
      <c r="F95" s="2">
        <v>39.130429999999997</v>
      </c>
      <c r="G95" s="2">
        <v>4.6333333333333329</v>
      </c>
      <c r="H95" s="2">
        <v>3.0660400000000001</v>
      </c>
      <c r="I95" s="8">
        <v>685.44100000000003</v>
      </c>
      <c r="J95">
        <v>2.7702709666666669E-2</v>
      </c>
      <c r="K95">
        <v>2.6517205000000002E-2</v>
      </c>
      <c r="L95">
        <v>1.4579827360581781</v>
      </c>
      <c r="M95" s="2">
        <v>0.88583000000000001</v>
      </c>
      <c r="N95">
        <v>9.9020742228605282E-2</v>
      </c>
    </row>
    <row r="96" spans="1:14" x14ac:dyDescent="0.15">
      <c r="A96" s="1">
        <v>38899</v>
      </c>
      <c r="B96" s="8">
        <v>0.68171000000000004</v>
      </c>
      <c r="C96" s="8">
        <v>0.36893999999999999</v>
      </c>
      <c r="D96" s="8">
        <v>0.73831999999999998</v>
      </c>
      <c r="E96" s="2">
        <v>1.3669</v>
      </c>
      <c r="F96" s="2">
        <v>-31.25</v>
      </c>
      <c r="G96" s="2">
        <v>4.6333333333333329</v>
      </c>
      <c r="H96" s="2">
        <v>1.0297499999999999</v>
      </c>
      <c r="I96" s="8">
        <v>567.61</v>
      </c>
      <c r="J96">
        <v>2.7729631000000005E-2</v>
      </c>
      <c r="K96">
        <v>2.6196023666666665E-2</v>
      </c>
      <c r="L96">
        <v>1.4881903812692727</v>
      </c>
      <c r="M96" s="2">
        <v>0.78049000000000002</v>
      </c>
      <c r="N96">
        <v>-0.23258570270987053</v>
      </c>
    </row>
    <row r="97" spans="1:14" x14ac:dyDescent="0.15">
      <c r="A97" s="1">
        <v>38991</v>
      </c>
      <c r="B97" s="8">
        <v>0.51588000000000001</v>
      </c>
      <c r="C97" s="8">
        <v>-0.64326000000000005</v>
      </c>
      <c r="D97" s="8">
        <v>0.71587000000000001</v>
      </c>
      <c r="E97" s="2">
        <v>0.78649000000000002</v>
      </c>
      <c r="F97" s="2">
        <v>-22.727270000000001</v>
      </c>
      <c r="G97" s="2">
        <v>4.4333333333333336</v>
      </c>
      <c r="H97" s="2">
        <v>-3.1143800000000001</v>
      </c>
      <c r="I97" s="8">
        <v>538.53</v>
      </c>
      <c r="J97">
        <v>2.0930832666666666E-2</v>
      </c>
      <c r="K97">
        <v>2.4038425666666668E-2</v>
      </c>
      <c r="L97">
        <v>1.4791998629338172</v>
      </c>
      <c r="M97" s="2">
        <v>0.96804999999999997</v>
      </c>
      <c r="N97">
        <v>-0.39014118765540812</v>
      </c>
    </row>
    <row r="98" spans="1:14" x14ac:dyDescent="0.15">
      <c r="A98" s="1">
        <v>39083</v>
      </c>
      <c r="B98" s="8">
        <v>0.58589000000000002</v>
      </c>
      <c r="C98" s="8">
        <v>2.3575699999999999</v>
      </c>
      <c r="D98" s="8">
        <v>1.4071800000000001</v>
      </c>
      <c r="E98" s="2">
        <v>1.5356000000000001</v>
      </c>
      <c r="F98" s="2">
        <v>64.705879999999993</v>
      </c>
      <c r="G98" s="2">
        <v>4.5</v>
      </c>
      <c r="H98" s="2">
        <v>0.43834000000000001</v>
      </c>
      <c r="I98" s="8">
        <v>409.92700000000002</v>
      </c>
      <c r="J98">
        <v>2.7070377666666669E-2</v>
      </c>
      <c r="K98">
        <v>2.5214612333333331E-2</v>
      </c>
      <c r="L98">
        <v>1.5577013826111454</v>
      </c>
      <c r="M98" s="2">
        <v>0.76702000000000004</v>
      </c>
      <c r="N98">
        <v>-0.72224538249412851</v>
      </c>
    </row>
    <row r="99" spans="1:14" x14ac:dyDescent="0.15">
      <c r="A99" s="1">
        <v>39173</v>
      </c>
      <c r="B99" s="8">
        <v>0.48537000000000002</v>
      </c>
      <c r="C99" s="8">
        <v>1.331</v>
      </c>
      <c r="D99" s="8">
        <v>0.97411000000000003</v>
      </c>
      <c r="E99" s="2">
        <v>1.11365</v>
      </c>
      <c r="F99" s="2">
        <v>-39.285710000000002</v>
      </c>
      <c r="G99" s="2">
        <v>4.5</v>
      </c>
      <c r="H99" s="2">
        <v>3.6078000000000001</v>
      </c>
      <c r="I99" s="8">
        <v>457.47199999999998</v>
      </c>
      <c r="J99">
        <v>2.9524565666666665E-2</v>
      </c>
      <c r="K99">
        <v>2.5583009333333333E-2</v>
      </c>
      <c r="L99">
        <v>1.3876808218645831</v>
      </c>
      <c r="M99" s="2">
        <v>0.76117999999999997</v>
      </c>
      <c r="N99">
        <v>-0.54252447731999898</v>
      </c>
    </row>
    <row r="100" spans="1:14" x14ac:dyDescent="0.15">
      <c r="A100" s="1">
        <v>39264</v>
      </c>
      <c r="B100" s="8">
        <v>0.51554999999999995</v>
      </c>
      <c r="C100" s="8">
        <v>-0.49312</v>
      </c>
      <c r="D100" s="8">
        <v>1.13957</v>
      </c>
      <c r="E100" s="2">
        <v>1.23604</v>
      </c>
      <c r="F100" s="2">
        <v>17.64706</v>
      </c>
      <c r="G100" s="2">
        <v>4.666666666666667</v>
      </c>
      <c r="H100" s="2">
        <v>2.33081</v>
      </c>
      <c r="I100" s="8">
        <v>497.101</v>
      </c>
      <c r="J100">
        <v>2.6139644E-2</v>
      </c>
      <c r="K100">
        <v>2.5137561333333336E-2</v>
      </c>
      <c r="L100">
        <v>1.5139045227821126</v>
      </c>
      <c r="M100" s="2">
        <v>0.75543000000000005</v>
      </c>
      <c r="N100">
        <v>-0.20307635594825046</v>
      </c>
    </row>
    <row r="101" spans="1:14" x14ac:dyDescent="0.15">
      <c r="A101" s="1">
        <v>39356</v>
      </c>
      <c r="B101" s="8">
        <v>0.70392999999999994</v>
      </c>
      <c r="C101" s="8">
        <v>0.98234999999999995</v>
      </c>
      <c r="D101" s="8">
        <v>1.1161099999999999</v>
      </c>
      <c r="E101" s="2">
        <v>1.41622</v>
      </c>
      <c r="F101" s="2">
        <v>40</v>
      </c>
      <c r="G101" s="2">
        <v>4.8</v>
      </c>
      <c r="H101" s="2">
        <v>3.8419300000000001</v>
      </c>
      <c r="I101" s="8">
        <v>449.596</v>
      </c>
      <c r="J101">
        <v>2.4892767E-2</v>
      </c>
      <c r="K101">
        <v>2.3277174333333334E-2</v>
      </c>
      <c r="L101">
        <v>1.6107397453637435</v>
      </c>
      <c r="M101" s="2">
        <v>0.84348999999999996</v>
      </c>
      <c r="N101">
        <v>-0.43086101860281473</v>
      </c>
    </row>
    <row r="102" spans="1:14" x14ac:dyDescent="0.15">
      <c r="A102" s="1">
        <v>39448</v>
      </c>
      <c r="B102" s="8">
        <v>0.66232000000000002</v>
      </c>
      <c r="C102" s="8">
        <v>1.4074599999999999</v>
      </c>
      <c r="D102" s="8">
        <v>1.35622</v>
      </c>
      <c r="E102" s="2">
        <v>0.67759000000000003</v>
      </c>
      <c r="F102" s="2">
        <v>-25</v>
      </c>
      <c r="G102" s="2">
        <v>5</v>
      </c>
      <c r="H102" s="2">
        <v>3.6469299999999998</v>
      </c>
      <c r="I102" s="8">
        <v>256.036</v>
      </c>
      <c r="J102">
        <v>2.2326950666666668E-2</v>
      </c>
      <c r="K102">
        <v>2.0628456999999999E-2</v>
      </c>
      <c r="L102">
        <v>1.8827679837889282</v>
      </c>
      <c r="M102" s="2">
        <v>0.74348999999999998</v>
      </c>
      <c r="N102">
        <v>6.9733141673575721E-2</v>
      </c>
    </row>
    <row r="103" spans="1:14" x14ac:dyDescent="0.15">
      <c r="A103" s="1">
        <v>39539</v>
      </c>
      <c r="B103" s="8">
        <v>0.43448999999999999</v>
      </c>
      <c r="C103" s="8">
        <v>6.6076100000000002</v>
      </c>
      <c r="D103" s="8">
        <v>1.4716899999999999</v>
      </c>
      <c r="E103" s="2">
        <v>1.2537700000000001</v>
      </c>
      <c r="F103" s="2">
        <v>-19.047619999999998</v>
      </c>
      <c r="G103" s="2">
        <v>5.333333333333333</v>
      </c>
      <c r="H103" s="2">
        <v>8.1081099999999999</v>
      </c>
      <c r="I103" s="8">
        <v>210.33</v>
      </c>
      <c r="J103">
        <v>2.344286433333333E-2</v>
      </c>
      <c r="K103">
        <v>2.1749102000000003E-2</v>
      </c>
      <c r="L103">
        <v>1.9705153719024799</v>
      </c>
      <c r="M103" s="2">
        <v>0.55350999999999995</v>
      </c>
      <c r="N103">
        <v>7.5133837126891381E-2</v>
      </c>
    </row>
    <row r="104" spans="1:14" x14ac:dyDescent="0.15">
      <c r="A104" s="1">
        <v>39630</v>
      </c>
      <c r="B104" s="8">
        <v>0.64365000000000006</v>
      </c>
      <c r="C104" s="8">
        <v>4.2027000000000001</v>
      </c>
      <c r="D104" s="8">
        <v>2.0455700000000001</v>
      </c>
      <c r="E104" s="2">
        <v>0.28793000000000002</v>
      </c>
      <c r="F104" s="2">
        <v>23.529409999999999</v>
      </c>
      <c r="G104" s="2">
        <v>6</v>
      </c>
      <c r="H104" s="2">
        <v>1.0141500000000001</v>
      </c>
      <c r="I104" s="8">
        <v>99.334999999999994</v>
      </c>
      <c r="J104">
        <v>2.9108299333333334E-2</v>
      </c>
      <c r="K104">
        <v>2.2999659666666668E-2</v>
      </c>
      <c r="L104">
        <v>2.5590965766918639</v>
      </c>
      <c r="M104" s="2">
        <v>0.45872000000000002</v>
      </c>
      <c r="N104">
        <v>0.23644848329106449</v>
      </c>
    </row>
    <row r="105" spans="1:14" x14ac:dyDescent="0.15">
      <c r="A105" s="1">
        <v>39722</v>
      </c>
      <c r="B105" s="8">
        <v>0.24481</v>
      </c>
      <c r="C105" s="8">
        <v>-3.6889400000000001</v>
      </c>
      <c r="D105" s="8">
        <v>1.05864</v>
      </c>
      <c r="E105" s="2">
        <v>-2.4818600000000002</v>
      </c>
      <c r="F105" s="2">
        <v>-114.28570999999999</v>
      </c>
      <c r="G105" s="2">
        <v>6.8666666666666671</v>
      </c>
      <c r="H105" s="2">
        <v>-14.98949</v>
      </c>
      <c r="I105" s="8">
        <v>-313.46600000000001</v>
      </c>
      <c r="J105">
        <v>8.9160237666666663E-3</v>
      </c>
      <c r="K105">
        <v>1.8981964666666667E-2</v>
      </c>
      <c r="L105">
        <v>3.3682478743444939</v>
      </c>
      <c r="M105" s="2">
        <v>0.27396999999999999</v>
      </c>
      <c r="N105">
        <v>-1.0563360952034311</v>
      </c>
    </row>
    <row r="106" spans="1:14" x14ac:dyDescent="0.15">
      <c r="A106" s="1">
        <v>39814</v>
      </c>
      <c r="B106" s="8">
        <v>0.41972999999999999</v>
      </c>
      <c r="C106" s="8">
        <v>-1.7994600000000001</v>
      </c>
      <c r="D106" s="8">
        <v>0.18101999999999999</v>
      </c>
      <c r="E106" s="2">
        <v>-0.92830999999999997</v>
      </c>
      <c r="F106" s="2">
        <v>-100</v>
      </c>
      <c r="G106" s="2">
        <v>8.2666666666666675</v>
      </c>
      <c r="H106" s="2">
        <v>-6.7289199999999996</v>
      </c>
      <c r="I106" s="8">
        <v>-391.35899999999998</v>
      </c>
      <c r="J106">
        <v>1.2484796666666668E-3</v>
      </c>
      <c r="K106">
        <v>1.6413906666666669E-2</v>
      </c>
      <c r="L106">
        <v>5.1180153123661967</v>
      </c>
      <c r="M106" s="2">
        <v>0.27322000000000002</v>
      </c>
      <c r="N106">
        <v>-0.21542841722589737</v>
      </c>
    </row>
    <row r="107" spans="1:14" x14ac:dyDescent="0.15">
      <c r="A107" s="1">
        <v>39904</v>
      </c>
      <c r="B107" s="8">
        <v>0.50980000000000003</v>
      </c>
      <c r="C107" s="8">
        <v>-3.89093</v>
      </c>
      <c r="D107" s="8">
        <v>-0.57065999999999995</v>
      </c>
      <c r="E107" s="2">
        <v>-9.6449999999999994E-2</v>
      </c>
      <c r="F107" s="2" t="e">
        <v>#N/A</v>
      </c>
      <c r="G107" s="2">
        <v>9.3000000000000007</v>
      </c>
      <c r="H107" s="2">
        <v>3.5335700000000001</v>
      </c>
      <c r="I107" s="8">
        <v>-579.74800000000005</v>
      </c>
      <c r="J107">
        <v>1.2668979333333332E-2</v>
      </c>
      <c r="K107">
        <v>1.8535621666666665E-2</v>
      </c>
      <c r="L107">
        <v>5.5712051184187521</v>
      </c>
      <c r="M107" s="2">
        <v>0.36331000000000002</v>
      </c>
      <c r="N107">
        <v>0.21713132019006978</v>
      </c>
    </row>
    <row r="108" spans="1:14" x14ac:dyDescent="0.15">
      <c r="A108" s="1">
        <v>39995</v>
      </c>
      <c r="B108" s="8">
        <v>0.29799999999999999</v>
      </c>
      <c r="C108" s="8">
        <v>-1.3670500000000001</v>
      </c>
      <c r="D108" s="8">
        <v>-0.29110000000000003</v>
      </c>
      <c r="E108" s="2">
        <v>1.3655600000000001</v>
      </c>
      <c r="F108" s="2">
        <v>-12.5</v>
      </c>
      <c r="G108" s="2">
        <v>9.6333333333333329</v>
      </c>
      <c r="H108" s="2">
        <v>2.8725800000000001</v>
      </c>
      <c r="I108" s="8">
        <v>-532.14400000000001</v>
      </c>
      <c r="J108">
        <v>1.9791925000000002E-2</v>
      </c>
      <c r="K108">
        <v>2.0681111000000002E-2</v>
      </c>
      <c r="L108">
        <v>6.0580778636694186</v>
      </c>
      <c r="M108" s="2">
        <v>0.45249</v>
      </c>
      <c r="N108">
        <v>-0.79148181625927094</v>
      </c>
    </row>
    <row r="109" spans="1:14" x14ac:dyDescent="0.15">
      <c r="A109" s="1">
        <v>40087</v>
      </c>
      <c r="B109" s="8">
        <v>0.51148000000000005</v>
      </c>
      <c r="C109" s="8">
        <v>1.2844199999999999</v>
      </c>
      <c r="D109" s="8">
        <v>9.2509999999999995E-2</v>
      </c>
      <c r="E109" s="2">
        <v>0.66</v>
      </c>
      <c r="F109" s="2">
        <v>78.571430000000007</v>
      </c>
      <c r="G109" s="2">
        <v>9.9333333333333336</v>
      </c>
      <c r="H109" s="2">
        <v>2.5158999999999998</v>
      </c>
      <c r="I109" s="8">
        <v>-40.256</v>
      </c>
      <c r="J109">
        <v>1.7406669E-2</v>
      </c>
      <c r="K109">
        <v>1.9619755333333332E-2</v>
      </c>
      <c r="L109">
        <v>6.2393210166659117</v>
      </c>
      <c r="M109" s="2">
        <v>0.36036000000000001</v>
      </c>
      <c r="N109">
        <v>-0.63786523688019792</v>
      </c>
    </row>
    <row r="110" spans="1:14" x14ac:dyDescent="0.15">
      <c r="A110" s="1">
        <v>40179</v>
      </c>
      <c r="B110" s="8">
        <v>1.495E-2</v>
      </c>
      <c r="C110" s="8">
        <v>0.34544000000000002</v>
      </c>
      <c r="D110" s="8">
        <v>0.65232999999999997</v>
      </c>
      <c r="E110" s="2">
        <v>0.96784999999999999</v>
      </c>
      <c r="F110" s="2">
        <v>-44</v>
      </c>
      <c r="G110" s="2">
        <v>9.8333333333333339</v>
      </c>
      <c r="H110" s="2">
        <v>1.9417500000000001</v>
      </c>
      <c r="I110" s="8">
        <v>231.477</v>
      </c>
      <c r="J110">
        <v>1.7991717333333334E-2</v>
      </c>
      <c r="K110">
        <v>2.0381484333333335E-2</v>
      </c>
      <c r="L110">
        <v>5.9575516768228445</v>
      </c>
      <c r="M110" s="2">
        <v>0.44883000000000001</v>
      </c>
      <c r="N110">
        <v>-5.4552690094551069E-2</v>
      </c>
    </row>
    <row r="111" spans="1:14" x14ac:dyDescent="0.15">
      <c r="A111" s="1">
        <v>40269</v>
      </c>
      <c r="B111" s="8">
        <v>0.1255</v>
      </c>
      <c r="C111" s="8">
        <v>0.28961999999999999</v>
      </c>
      <c r="D111" s="8">
        <v>0.17147000000000001</v>
      </c>
      <c r="E111" s="2">
        <v>1.0522800000000001</v>
      </c>
      <c r="F111" s="2">
        <v>-21.428570000000001</v>
      </c>
      <c r="G111" s="2">
        <v>9.6333333333333329</v>
      </c>
      <c r="H111" s="2">
        <v>0.42327999999999999</v>
      </c>
      <c r="I111" s="8">
        <v>481.66</v>
      </c>
      <c r="J111">
        <v>1.5011275999999999E-2</v>
      </c>
      <c r="K111">
        <v>1.9892216333333334E-2</v>
      </c>
      <c r="L111">
        <v>4.8008727966164608</v>
      </c>
      <c r="M111" s="2">
        <v>0.35746</v>
      </c>
      <c r="N111">
        <v>0.20327467842443825</v>
      </c>
    </row>
    <row r="112" spans="1:14" x14ac:dyDescent="0.15">
      <c r="A112" s="1">
        <v>40360</v>
      </c>
      <c r="B112" s="8">
        <v>0.24209</v>
      </c>
      <c r="C112" s="8">
        <v>-5.0000000000000001E-3</v>
      </c>
      <c r="D112" s="8">
        <v>0.15476000000000001</v>
      </c>
      <c r="E112" s="2">
        <v>0.90744999999999998</v>
      </c>
      <c r="F112" s="2">
        <v>-45.454549999999998</v>
      </c>
      <c r="G112" s="2">
        <v>9.4666666666666668</v>
      </c>
      <c r="H112" s="2">
        <v>-0.79030999999999996</v>
      </c>
      <c r="I112" s="8">
        <v>575.36800000000005</v>
      </c>
      <c r="J112">
        <v>1.0703518833333333E-2</v>
      </c>
      <c r="K112">
        <v>1.6733046666666668E-2</v>
      </c>
      <c r="L112">
        <v>4.7325523127755664</v>
      </c>
      <c r="M112" s="2">
        <v>0.53427999999999998</v>
      </c>
      <c r="N112">
        <v>0.21089491590397133</v>
      </c>
    </row>
    <row r="113" spans="1:14" x14ac:dyDescent="0.15">
      <c r="A113" s="1">
        <v>40452</v>
      </c>
      <c r="B113" s="8">
        <v>0.26167000000000001</v>
      </c>
      <c r="C113" s="8">
        <v>-0.66879999999999995</v>
      </c>
      <c r="D113" s="8">
        <v>0.50863000000000003</v>
      </c>
      <c r="E113" s="2">
        <v>1.2578400000000001</v>
      </c>
      <c r="F113" s="2">
        <v>116.66667</v>
      </c>
      <c r="G113" s="2">
        <v>9.5</v>
      </c>
      <c r="H113" s="2">
        <v>2.8412099999999998</v>
      </c>
      <c r="I113" s="8">
        <v>566.13900000000001</v>
      </c>
      <c r="J113">
        <v>1.4184570333333334E-2</v>
      </c>
      <c r="K113">
        <v>1.6049399333333336E-2</v>
      </c>
      <c r="L113">
        <v>4.7124661810717363</v>
      </c>
      <c r="M113" s="2">
        <v>0.26572000000000001</v>
      </c>
      <c r="N113">
        <v>0.59824038134667046</v>
      </c>
    </row>
    <row r="114" spans="1:14" x14ac:dyDescent="0.15">
      <c r="A114" s="1">
        <v>40544</v>
      </c>
      <c r="B114" s="8">
        <v>0.47244000000000003</v>
      </c>
      <c r="C114" s="8">
        <v>0.15292</v>
      </c>
      <c r="D114" s="8">
        <v>1.4923500000000001</v>
      </c>
      <c r="E114" s="2">
        <v>1.2259100000000001</v>
      </c>
      <c r="F114" s="2">
        <v>38.461539999999999</v>
      </c>
      <c r="G114" s="2">
        <v>9.0333333333333332</v>
      </c>
      <c r="H114" s="2">
        <v>5.2414100000000001</v>
      </c>
      <c r="I114" s="8">
        <v>448.11399999999998</v>
      </c>
      <c r="J114">
        <v>1.9503891999999998E-2</v>
      </c>
      <c r="K114">
        <v>2.0018306333333333E-2</v>
      </c>
      <c r="L114">
        <v>4.6262056054864837</v>
      </c>
      <c r="M114" s="2">
        <v>0.44169999999999998</v>
      </c>
      <c r="N114">
        <v>0.61927603504567375</v>
      </c>
    </row>
    <row r="115" spans="1:14" x14ac:dyDescent="0.15">
      <c r="A115" s="1">
        <v>40634</v>
      </c>
      <c r="B115" s="8">
        <v>0.46738000000000002</v>
      </c>
      <c r="C115" s="8">
        <v>1.2466200000000001</v>
      </c>
      <c r="D115" s="8">
        <v>1.2536099999999999</v>
      </c>
      <c r="E115" s="2">
        <v>1.08762</v>
      </c>
      <c r="F115" s="2">
        <v>33.333329999999997</v>
      </c>
      <c r="G115" s="2">
        <v>9.0666666666666664</v>
      </c>
      <c r="H115" s="2">
        <v>5.0539699999999996</v>
      </c>
      <c r="I115" s="8">
        <v>468.29500000000002</v>
      </c>
      <c r="J115">
        <v>2.1619145666666662E-2</v>
      </c>
      <c r="K115">
        <v>2.0085433333333336E-2</v>
      </c>
      <c r="L115">
        <v>4.0427817046021302</v>
      </c>
      <c r="M115" s="2">
        <v>0.43974999999999997</v>
      </c>
      <c r="N115">
        <v>0.87537791603507609</v>
      </c>
    </row>
    <row r="116" spans="1:14" x14ac:dyDescent="0.15">
      <c r="A116" s="1">
        <v>40725</v>
      </c>
      <c r="B116" s="8">
        <v>0.68376999999999999</v>
      </c>
      <c r="C116" s="8">
        <v>0.58216999999999997</v>
      </c>
      <c r="D116" s="8">
        <v>1.1693100000000001</v>
      </c>
      <c r="E116" s="2">
        <v>0.76829000000000003</v>
      </c>
      <c r="F116" s="2">
        <v>-25</v>
      </c>
      <c r="G116" s="2">
        <v>9</v>
      </c>
      <c r="H116" s="2">
        <v>-0.51378000000000001</v>
      </c>
      <c r="I116" s="8">
        <v>400.43700000000001</v>
      </c>
      <c r="J116">
        <v>1.6508462666666668E-2</v>
      </c>
      <c r="K116">
        <v>1.7595493666666667E-2</v>
      </c>
      <c r="L116">
        <v>3.8065216686659458</v>
      </c>
      <c r="M116" s="2">
        <v>0.43783</v>
      </c>
      <c r="N116">
        <v>-0.13224249242508054</v>
      </c>
    </row>
    <row r="117" spans="1:14" x14ac:dyDescent="0.15">
      <c r="A117" s="1">
        <v>40817</v>
      </c>
      <c r="B117" s="8">
        <v>0.53337000000000001</v>
      </c>
      <c r="C117" s="8">
        <v>-0.62168999999999996</v>
      </c>
      <c r="D117" s="8">
        <v>0.67762</v>
      </c>
      <c r="E117" s="2">
        <v>0.50333000000000006</v>
      </c>
      <c r="F117" s="2">
        <v>-22.22222</v>
      </c>
      <c r="G117" s="2">
        <v>8.6333333333333329</v>
      </c>
      <c r="H117" s="2">
        <v>-9.3899999999999997E-2</v>
      </c>
      <c r="I117" s="8">
        <v>454.84</v>
      </c>
      <c r="J117">
        <v>1.5608402666666665E-2</v>
      </c>
      <c r="K117">
        <v>1.6130442666666665E-2</v>
      </c>
      <c r="L117">
        <v>3.6767810872764914</v>
      </c>
      <c r="M117" s="2">
        <v>0.52310000000000001</v>
      </c>
      <c r="N117">
        <v>-0.101827402746138</v>
      </c>
    </row>
    <row r="118" spans="1:14" x14ac:dyDescent="0.15">
      <c r="A118" s="1">
        <v>40909</v>
      </c>
      <c r="B118" s="8">
        <v>0.52569999999999995</v>
      </c>
      <c r="C118" s="8">
        <v>-1.9661299999999999</v>
      </c>
      <c r="D118" s="8">
        <v>0.69772999999999996</v>
      </c>
      <c r="E118" s="2">
        <v>1.3889400000000001</v>
      </c>
      <c r="F118" s="2">
        <v>78.571430000000007</v>
      </c>
      <c r="G118" s="2">
        <v>8.2666666666666675</v>
      </c>
      <c r="H118" s="2">
        <v>0.70489000000000002</v>
      </c>
      <c r="I118" s="8">
        <v>659.95799999999997</v>
      </c>
      <c r="J118">
        <v>1.4449727000000001E-2</v>
      </c>
      <c r="K118">
        <v>1.5757360333333331E-2</v>
      </c>
      <c r="L118">
        <v>3.5441307115778344</v>
      </c>
      <c r="M118" s="2">
        <v>0.43364999999999998</v>
      </c>
      <c r="N118">
        <v>-8.3778908520681181E-3</v>
      </c>
    </row>
    <row r="119" spans="1:14" x14ac:dyDescent="0.15">
      <c r="A119" s="1">
        <v>41000</v>
      </c>
      <c r="B119" s="8">
        <v>0.49138999999999999</v>
      </c>
      <c r="C119" s="8">
        <v>-1.1808700000000001</v>
      </c>
      <c r="D119" s="8">
        <v>0.31407000000000002</v>
      </c>
      <c r="E119" s="2">
        <v>0.4173</v>
      </c>
      <c r="F119" s="2">
        <v>-32</v>
      </c>
      <c r="G119" s="2">
        <v>8.1999999999999993</v>
      </c>
      <c r="H119" s="2">
        <v>-0.88661000000000001</v>
      </c>
      <c r="I119" s="8">
        <v>603.21500000000003</v>
      </c>
      <c r="J119">
        <v>1.3555188233333333E-2</v>
      </c>
      <c r="K119">
        <v>1.5402332333333333E-2</v>
      </c>
      <c r="L119">
        <v>3.1529139006885778</v>
      </c>
      <c r="M119" s="2">
        <v>0.43178</v>
      </c>
      <c r="N119">
        <v>-0.56849315889515151</v>
      </c>
    </row>
    <row r="120" spans="1:14" x14ac:dyDescent="0.15">
      <c r="A120" s="1">
        <v>41091</v>
      </c>
      <c r="B120" s="8">
        <v>0.45219999999999999</v>
      </c>
      <c r="C120" s="8">
        <v>-5.2499999999999998E-2</v>
      </c>
      <c r="D120" s="8">
        <v>0.27822999999999998</v>
      </c>
      <c r="E120" s="2">
        <v>0.49370999999999998</v>
      </c>
      <c r="F120" s="2">
        <v>-29.411760000000001</v>
      </c>
      <c r="G120" s="2">
        <v>8.0333333333333332</v>
      </c>
      <c r="H120" s="2">
        <v>-1.62429</v>
      </c>
      <c r="I120" s="8">
        <v>624.34699999999998</v>
      </c>
      <c r="J120">
        <v>1.5327489E-2</v>
      </c>
      <c r="K120">
        <v>1.4983123666666667E-2</v>
      </c>
      <c r="L120">
        <v>3.2114196950321059</v>
      </c>
      <c r="M120" s="2">
        <v>0.34394000000000002</v>
      </c>
      <c r="N120">
        <v>-0.35938779315060021</v>
      </c>
    </row>
    <row r="121" spans="1:14" x14ac:dyDescent="0.15">
      <c r="A121" s="1">
        <v>41183</v>
      </c>
      <c r="B121" s="8">
        <v>0.46565000000000001</v>
      </c>
      <c r="C121" s="8">
        <v>1.3045599999999999</v>
      </c>
      <c r="D121" s="8">
        <v>0.43869000000000002</v>
      </c>
      <c r="E121" s="2">
        <v>0.96118000000000003</v>
      </c>
      <c r="F121" s="2">
        <v>50</v>
      </c>
      <c r="G121" s="2">
        <v>7.8</v>
      </c>
      <c r="H121" s="2">
        <v>0.69394999999999996</v>
      </c>
      <c r="I121" s="8">
        <v>488.351</v>
      </c>
      <c r="J121">
        <v>1.7930800333333333E-2</v>
      </c>
      <c r="K121">
        <v>1.5156210333333331E-2</v>
      </c>
      <c r="L121">
        <v>3.1712001745836425</v>
      </c>
      <c r="M121" s="2">
        <v>0.59982999999999997</v>
      </c>
      <c r="N121">
        <v>-0.16298123726277972</v>
      </c>
    </row>
    <row r="122" spans="1:14" x14ac:dyDescent="0.15">
      <c r="A122" s="1">
        <v>41275</v>
      </c>
      <c r="B122" s="8">
        <v>0.50614000000000003</v>
      </c>
      <c r="C122" s="8">
        <v>0.68927000000000005</v>
      </c>
      <c r="D122" s="8">
        <v>0.5403</v>
      </c>
      <c r="E122" s="2">
        <v>1.0030699999999999</v>
      </c>
      <c r="F122" s="2">
        <v>-11.11111</v>
      </c>
      <c r="G122" s="2">
        <v>7.7333333333333334</v>
      </c>
      <c r="H122" s="2">
        <v>0.42775999999999997</v>
      </c>
      <c r="I122" s="8">
        <v>453.02699999999999</v>
      </c>
      <c r="J122">
        <v>1.2271109000000001E-2</v>
      </c>
      <c r="K122">
        <v>1.4797120999999998E-2</v>
      </c>
      <c r="L122">
        <v>3.2008924028161716</v>
      </c>
      <c r="M122" s="2">
        <v>0.51107000000000002</v>
      </c>
      <c r="N122">
        <v>-0.32078447067710575</v>
      </c>
    </row>
    <row r="123" spans="1:14" x14ac:dyDescent="0.15">
      <c r="A123" s="1">
        <v>41365</v>
      </c>
      <c r="B123" s="8">
        <v>0.22735</v>
      </c>
      <c r="C123" s="8">
        <v>1.72977</v>
      </c>
      <c r="D123" s="8">
        <v>0.16714000000000001</v>
      </c>
      <c r="E123" s="2">
        <v>0.33723999999999998</v>
      </c>
      <c r="F123" s="2">
        <v>-31.25</v>
      </c>
      <c r="G123" s="2">
        <v>7.5333333333333332</v>
      </c>
      <c r="H123" s="2">
        <v>-0.99385000000000001</v>
      </c>
      <c r="I123" s="8">
        <v>363.41300000000001</v>
      </c>
      <c r="J123">
        <v>1.3291835333333335E-2</v>
      </c>
      <c r="K123">
        <v>1.4753454999999999E-2</v>
      </c>
      <c r="L123">
        <v>2.7348786613478651</v>
      </c>
      <c r="M123" s="2">
        <v>0.33898</v>
      </c>
      <c r="N123">
        <v>-0.73662759219132934</v>
      </c>
    </row>
    <row r="124" spans="1:14" x14ac:dyDescent="0.15">
      <c r="A124" s="1">
        <v>41456</v>
      </c>
      <c r="B124" s="8">
        <v>0.53463000000000005</v>
      </c>
      <c r="C124" s="8">
        <v>-4.3290000000000002E-2</v>
      </c>
      <c r="D124" s="8">
        <v>0.24923999999999999</v>
      </c>
      <c r="E124" s="2">
        <v>0.81891999999999998</v>
      </c>
      <c r="F124" s="2">
        <v>45.454549999999998</v>
      </c>
      <c r="G124" s="2">
        <v>7.2333333333333334</v>
      </c>
      <c r="H124" s="2">
        <v>-7.17E-2</v>
      </c>
      <c r="I124" s="8">
        <v>471.23500000000001</v>
      </c>
      <c r="J124">
        <v>1.6676276333333333E-2</v>
      </c>
      <c r="K124">
        <v>1.7538161E-2</v>
      </c>
      <c r="L124">
        <v>2.7587992630482159</v>
      </c>
      <c r="M124" s="2">
        <v>0.59121999999999997</v>
      </c>
      <c r="N124">
        <v>-0.49405412152357026</v>
      </c>
    </row>
    <row r="125" spans="1:14" x14ac:dyDescent="0.15">
      <c r="A125" s="1">
        <v>41548</v>
      </c>
      <c r="B125" s="8">
        <v>0.44429000000000002</v>
      </c>
      <c r="C125" s="8">
        <v>0.29210000000000003</v>
      </c>
      <c r="D125" s="8">
        <v>0.20394999999999999</v>
      </c>
      <c r="E125" s="2">
        <v>1.2523</v>
      </c>
      <c r="F125" s="2">
        <v>6.25</v>
      </c>
      <c r="G125" s="2">
        <v>6.9333333333333336</v>
      </c>
      <c r="H125" s="2">
        <v>-0.88495999999999997</v>
      </c>
      <c r="I125" s="8">
        <v>638.86800000000005</v>
      </c>
      <c r="J125">
        <v>1.6433769000000001E-2</v>
      </c>
      <c r="K125">
        <v>1.7420455999999997E-2</v>
      </c>
      <c r="L125">
        <v>2.6337062227799457</v>
      </c>
      <c r="M125" s="2">
        <v>0.25189</v>
      </c>
      <c r="N125">
        <v>-0.4558975350858539</v>
      </c>
    </row>
    <row r="126" spans="1:14" x14ac:dyDescent="0.15">
      <c r="A126" s="1">
        <v>41640</v>
      </c>
      <c r="B126" s="8">
        <v>0.38695000000000002</v>
      </c>
      <c r="C126" s="8">
        <v>3.3832599999999999</v>
      </c>
      <c r="D126" s="8">
        <v>0.77056000000000002</v>
      </c>
      <c r="E126" s="2">
        <v>0.82040000000000002</v>
      </c>
      <c r="F126" s="2">
        <v>-23.529409999999999</v>
      </c>
      <c r="G126" s="2">
        <v>6.666666666666667</v>
      </c>
      <c r="H126" s="2">
        <v>1.0135099999999999</v>
      </c>
      <c r="I126" s="8">
        <v>455.815</v>
      </c>
      <c r="J126">
        <v>1.4811783666666667E-2</v>
      </c>
      <c r="K126">
        <v>1.7877615666666666E-2</v>
      </c>
      <c r="L126">
        <v>2.5713342090958977</v>
      </c>
      <c r="M126" s="2">
        <v>0.67001999999999995</v>
      </c>
      <c r="N126">
        <v>-0.51719091946983164</v>
      </c>
    </row>
    <row r="127" spans="1:14" x14ac:dyDescent="0.15">
      <c r="A127" s="1">
        <v>41730</v>
      </c>
      <c r="B127" s="8">
        <v>0.51737</v>
      </c>
      <c r="C127" s="8">
        <v>0.73085</v>
      </c>
      <c r="D127" s="8">
        <v>0.99168000000000001</v>
      </c>
      <c r="E127" s="2">
        <v>1.4119299999999999</v>
      </c>
      <c r="F127" s="2">
        <v>38.461539999999999</v>
      </c>
      <c r="G127" s="2">
        <v>6.2</v>
      </c>
      <c r="H127" s="2">
        <v>0.40611999999999998</v>
      </c>
      <c r="I127" s="8">
        <v>694.40800000000002</v>
      </c>
      <c r="J127">
        <v>1.6493156000000002E-2</v>
      </c>
      <c r="K127">
        <v>1.8579101000000001E-2</v>
      </c>
      <c r="L127">
        <v>1.9274659722882281</v>
      </c>
      <c r="M127" s="2">
        <v>0.74875000000000003</v>
      </c>
      <c r="N127">
        <v>-0.77839262984173885</v>
      </c>
    </row>
    <row r="128" spans="1:14" x14ac:dyDescent="0.15">
      <c r="A128" s="1">
        <v>41821</v>
      </c>
      <c r="B128" s="8">
        <v>0.41378999999999999</v>
      </c>
      <c r="C128" s="8">
        <v>4.8999999999999998E-3</v>
      </c>
      <c r="D128" s="8">
        <v>0.75316000000000005</v>
      </c>
      <c r="E128" s="2">
        <v>1.26498</v>
      </c>
      <c r="F128" s="2">
        <v>-16.66667</v>
      </c>
      <c r="G128" s="2">
        <v>6.0666666666666664</v>
      </c>
      <c r="H128" s="2">
        <v>-0.78515000000000001</v>
      </c>
      <c r="I128" s="8">
        <v>769.41800000000001</v>
      </c>
      <c r="J128">
        <v>1.9270282333333333E-2</v>
      </c>
      <c r="K128">
        <v>1.8915243666666665E-2</v>
      </c>
      <c r="L128">
        <v>1.8666524770932937</v>
      </c>
      <c r="M128" s="2">
        <v>0.57803000000000004</v>
      </c>
      <c r="N128">
        <v>-0.75557516878871933</v>
      </c>
    </row>
    <row r="129" spans="1:18" x14ac:dyDescent="0.15">
      <c r="A129" s="1">
        <v>41913</v>
      </c>
      <c r="B129" s="8">
        <v>0.39796999999999999</v>
      </c>
      <c r="C129" s="8">
        <v>-0.80632000000000004</v>
      </c>
      <c r="D129" s="8">
        <v>0.66427000000000003</v>
      </c>
      <c r="E129" s="2">
        <v>1.0178499999999999</v>
      </c>
      <c r="F129" s="2">
        <v>-26.66667</v>
      </c>
      <c r="G129" s="2">
        <v>5.7</v>
      </c>
      <c r="H129" s="2">
        <v>-4.1726599999999996</v>
      </c>
      <c r="I129" s="8">
        <v>616.88400000000001</v>
      </c>
      <c r="J129">
        <v>1.7031663666666665E-2</v>
      </c>
      <c r="K129">
        <v>1.8468636E-2</v>
      </c>
      <c r="L129">
        <v>1.8008434279941214</v>
      </c>
      <c r="M129" s="2">
        <v>0.65681</v>
      </c>
      <c r="N129">
        <v>-0.65821593446671633</v>
      </c>
    </row>
    <row r="130" spans="1:18" x14ac:dyDescent="0.15">
      <c r="A130" s="1">
        <v>42005</v>
      </c>
      <c r="B130" s="8">
        <v>0.34877000000000002</v>
      </c>
      <c r="C130" s="8">
        <v>-0.1055</v>
      </c>
      <c r="D130" s="8">
        <v>0.39778000000000002</v>
      </c>
      <c r="E130" s="2">
        <v>0.31646000000000002</v>
      </c>
      <c r="F130" s="2">
        <v>-36.363639999999997</v>
      </c>
      <c r="G130" s="2">
        <v>5.5333333333333332</v>
      </c>
      <c r="H130" s="2">
        <v>-5.7057099999999998</v>
      </c>
      <c r="I130" s="8">
        <v>773.95100000000002</v>
      </c>
      <c r="J130">
        <v>6.9927391333333326E-3</v>
      </c>
      <c r="K130">
        <v>1.6439367666666666E-2</v>
      </c>
      <c r="L130">
        <v>1.7401862499405532</v>
      </c>
      <c r="M130" s="2">
        <v>0.16313</v>
      </c>
      <c r="N130">
        <v>-0.40383747467208958</v>
      </c>
    </row>
    <row r="131" spans="1:18" x14ac:dyDescent="0.15">
      <c r="A131" s="1">
        <v>42095</v>
      </c>
      <c r="B131" s="8">
        <v>0.60494000000000003</v>
      </c>
      <c r="C131" s="8">
        <v>-1.60836</v>
      </c>
      <c r="D131" s="8">
        <v>-3.7199999999999997E-2</v>
      </c>
      <c r="E131" s="2">
        <v>1.19089</v>
      </c>
      <c r="F131" s="2">
        <v>157.14286000000001</v>
      </c>
      <c r="G131" s="2">
        <v>5.4333333333333336</v>
      </c>
      <c r="H131" s="2">
        <v>0.37154999999999999</v>
      </c>
      <c r="I131" s="8">
        <v>671.428</v>
      </c>
      <c r="J131">
        <v>1.6892917E-2</v>
      </c>
      <c r="K131">
        <v>1.7766959999999998E-2</v>
      </c>
      <c r="L131">
        <v>1.4873351744150645</v>
      </c>
      <c r="M131" s="2">
        <v>0.65146999999999999</v>
      </c>
      <c r="N131">
        <v>-0.5727750206981792</v>
      </c>
    </row>
    <row r="132" spans="1:18" x14ac:dyDescent="0.15">
      <c r="A132" s="1">
        <v>42186</v>
      </c>
      <c r="B132" s="8">
        <v>0.49647999999999998</v>
      </c>
      <c r="C132" s="8">
        <v>-0.64502000000000004</v>
      </c>
      <c r="D132" s="8">
        <v>0.58431</v>
      </c>
      <c r="E132" s="2">
        <v>0.96514</v>
      </c>
      <c r="F132" s="2">
        <v>-27.77778</v>
      </c>
      <c r="G132" s="2">
        <v>5.0999999999999996</v>
      </c>
      <c r="H132" s="2">
        <v>-2.0359600000000002</v>
      </c>
      <c r="I132" s="8">
        <v>477.49</v>
      </c>
      <c r="J132">
        <v>1.8180931750496721E-2</v>
      </c>
      <c r="K132">
        <v>1.846443045559017E-2</v>
      </c>
      <c r="L132">
        <v>1.3990058120988333</v>
      </c>
      <c r="M132" s="2">
        <v>0.56633999999999995</v>
      </c>
      <c r="N132">
        <v>-0.48557708305940839</v>
      </c>
    </row>
    <row r="133" spans="1:18" x14ac:dyDescent="0.15">
      <c r="A133" s="1">
        <v>42278</v>
      </c>
      <c r="B133" s="8">
        <v>0.52944000000000002</v>
      </c>
      <c r="C133" s="8">
        <v>-1.0771200000000001</v>
      </c>
      <c r="D133" s="8">
        <v>0.26301000000000002</v>
      </c>
      <c r="E133" s="2">
        <v>0.33004</v>
      </c>
      <c r="F133" s="2">
        <v>-23.076920000000001</v>
      </c>
      <c r="G133" s="2">
        <v>5.0333333333333332</v>
      </c>
      <c r="H133" s="2">
        <v>-2.4021599999999999</v>
      </c>
      <c r="I133" s="8">
        <v>401.95</v>
      </c>
      <c r="J133">
        <v>1.3622015154837191E-2</v>
      </c>
      <c r="K133">
        <v>1.7860841112794928E-2</v>
      </c>
      <c r="L133">
        <v>1.3765415599314743</v>
      </c>
      <c r="M133" s="2">
        <v>0.64359999999999995</v>
      </c>
      <c r="N133">
        <v>-0.48596396779736267</v>
      </c>
    </row>
    <row r="134" spans="1:18" x14ac:dyDescent="0.15">
      <c r="A134" s="1">
        <v>42370</v>
      </c>
      <c r="B134" s="8">
        <v>0.52173000000000003</v>
      </c>
      <c r="C134" s="8">
        <v>-1.1462699999999999</v>
      </c>
      <c r="D134" s="8">
        <v>1.9859999999999999E-2</v>
      </c>
      <c r="E134" s="2">
        <v>0.80332000000000003</v>
      </c>
      <c r="F134" s="2">
        <v>70</v>
      </c>
      <c r="G134" s="2">
        <v>4.9000000000000004</v>
      </c>
      <c r="H134" s="2">
        <v>-2.4612799999999999</v>
      </c>
      <c r="I134" s="8">
        <v>343.46899999999999</v>
      </c>
      <c r="J134">
        <v>1.124375711912907E-2</v>
      </c>
      <c r="K134">
        <v>1.7355012559157869E-2</v>
      </c>
      <c r="L134">
        <v>1.4102075244103949</v>
      </c>
      <c r="M134" s="2">
        <v>0.71941999999999995</v>
      </c>
      <c r="N134">
        <v>-0.71711282850058733</v>
      </c>
    </row>
    <row r="135" spans="1:18" x14ac:dyDescent="0.15">
      <c r="A135" s="1">
        <v>42461</v>
      </c>
      <c r="B135" s="8">
        <v>0.65863000000000005</v>
      </c>
      <c r="C135" s="8">
        <v>0.38968000000000003</v>
      </c>
      <c r="D135" s="8">
        <v>-0.22189</v>
      </c>
      <c r="E135" s="2">
        <v>1.1336299999999999</v>
      </c>
      <c r="F135" s="2">
        <v>29.411760000000001</v>
      </c>
      <c r="G135" s="2">
        <v>4.9333333333333336</v>
      </c>
      <c r="H135" s="2">
        <v>1.81457</v>
      </c>
      <c r="I135" s="8">
        <v>314.495</v>
      </c>
      <c r="J135">
        <v>1.5436493923062724E-2</v>
      </c>
      <c r="K135">
        <v>1.7295723307477404E-2</v>
      </c>
      <c r="L135">
        <v>1.2872256649533211</v>
      </c>
      <c r="M135" s="2">
        <v>0.47619</v>
      </c>
      <c r="N135">
        <v>-0.42229202765672458</v>
      </c>
    </row>
    <row r="136" spans="1:18" x14ac:dyDescent="0.15">
      <c r="A136" s="1">
        <v>42552</v>
      </c>
      <c r="B136" s="8">
        <v>0.52156999999999998</v>
      </c>
      <c r="C136" s="8">
        <v>1.92058</v>
      </c>
      <c r="D136" s="8">
        <v>-7.5969999999999996E-2</v>
      </c>
      <c r="E136" s="2">
        <v>1.04223</v>
      </c>
      <c r="F136" s="2">
        <v>-22.727270000000001</v>
      </c>
      <c r="G136" s="2">
        <v>4.9000000000000004</v>
      </c>
      <c r="H136" s="2">
        <v>0.77973000000000003</v>
      </c>
      <c r="I136" s="8">
        <v>383.209</v>
      </c>
      <c r="J136">
        <v>1.7675527344578949E-2</v>
      </c>
      <c r="K136">
        <v>1.6685437516735249E-2</v>
      </c>
      <c r="L136">
        <v>1.3135598103488146</v>
      </c>
      <c r="M136" s="2">
        <v>0.55291999999999997</v>
      </c>
      <c r="N136">
        <v>-0.12566349277314318</v>
      </c>
    </row>
    <row r="137" spans="1:18" x14ac:dyDescent="0.15">
      <c r="A137" s="1">
        <v>42644</v>
      </c>
      <c r="B137" s="8">
        <v>0.46289000000000002</v>
      </c>
      <c r="C137" s="8">
        <v>0.43374000000000001</v>
      </c>
      <c r="D137" s="8">
        <v>-4.965E-2</v>
      </c>
      <c r="E137" s="2">
        <v>0.97548000000000001</v>
      </c>
      <c r="F137" s="2">
        <v>-17.64706</v>
      </c>
      <c r="G137" s="2">
        <v>4.7666666666666666</v>
      </c>
      <c r="H137" s="2">
        <v>0.55264000000000002</v>
      </c>
      <c r="I137" s="8">
        <v>549.77800000000002</v>
      </c>
      <c r="J137">
        <v>1.979310799158181E-2</v>
      </c>
      <c r="K137">
        <v>1.8055258282214225E-2</v>
      </c>
      <c r="L137">
        <v>1.2931717924281598</v>
      </c>
      <c r="M137" s="2">
        <v>0.70699000000000001</v>
      </c>
      <c r="N137">
        <v>-0.20471545104291825</v>
      </c>
    </row>
    <row r="138" spans="1:18" x14ac:dyDescent="0.15">
      <c r="A138" s="1">
        <v>42736</v>
      </c>
      <c r="B138" s="8">
        <v>0.51646999999999998</v>
      </c>
      <c r="C138" s="8">
        <v>0.52227000000000001</v>
      </c>
      <c r="D138" s="8">
        <v>0.45462000000000002</v>
      </c>
      <c r="E138" s="2">
        <v>1.3571200000000001</v>
      </c>
      <c r="F138" s="2">
        <v>35.714289999999998</v>
      </c>
      <c r="G138" s="2">
        <v>4.5666666666666664</v>
      </c>
      <c r="H138" s="2">
        <v>0.98928000000000005</v>
      </c>
      <c r="I138" s="8">
        <v>601.97799999999995</v>
      </c>
      <c r="J138">
        <v>1.8495512423843979E-2</v>
      </c>
      <c r="K138">
        <v>1.9104383390941383E-2</v>
      </c>
      <c r="L138">
        <v>1.3778059701578951</v>
      </c>
      <c r="M138" s="2">
        <v>0.62402000000000002</v>
      </c>
      <c r="N138">
        <v>0.12543525494733862</v>
      </c>
    </row>
    <row r="139" spans="1:18" x14ac:dyDescent="0.15">
      <c r="A139" s="1">
        <v>42826</v>
      </c>
      <c r="B139" s="8">
        <v>0.26501999999999998</v>
      </c>
      <c r="C139" s="8">
        <v>1.7086600000000001</v>
      </c>
      <c r="D139" s="8">
        <v>0.43018000000000001</v>
      </c>
      <c r="E139" s="2">
        <v>0.69811000000000001</v>
      </c>
      <c r="F139" s="2">
        <v>-31.578949999999999</v>
      </c>
      <c r="G139" s="2">
        <v>4.3666666666666671</v>
      </c>
      <c r="H139" s="2">
        <v>0.10884000000000001</v>
      </c>
      <c r="I139" s="8">
        <v>577.495</v>
      </c>
      <c r="J139">
        <v>1.41405459822783E-2</v>
      </c>
      <c r="K139">
        <v>1.8094428939617491E-2</v>
      </c>
      <c r="L139">
        <v>1.092492214680705</v>
      </c>
      <c r="M139" s="2">
        <v>0.69767000000000001</v>
      </c>
      <c r="N139">
        <v>-1.6456519681664058E-2</v>
      </c>
    </row>
    <row r="140" spans="1:18" x14ac:dyDescent="0.15">
      <c r="A140" s="1">
        <v>42917</v>
      </c>
      <c r="B140" s="8">
        <v>0.38824999999999998</v>
      </c>
      <c r="C140" s="8">
        <v>0.43701000000000001</v>
      </c>
      <c r="D140" s="8">
        <v>0.30584</v>
      </c>
      <c r="E140" s="2">
        <v>1.03346</v>
      </c>
      <c r="F140" s="2">
        <v>-7.69231</v>
      </c>
      <c r="G140" s="2">
        <v>4.333333333333333</v>
      </c>
      <c r="H140" s="2">
        <v>0.29898999999999998</v>
      </c>
      <c r="I140" s="8">
        <v>654.85199999999998</v>
      </c>
      <c r="J140">
        <v>1.8073800691484936E-2</v>
      </c>
      <c r="K140">
        <v>1.8362551300771371E-2</v>
      </c>
      <c r="L140">
        <v>1.0875236649584255</v>
      </c>
      <c r="M140" s="2">
        <v>0.69284000000000001</v>
      </c>
      <c r="N140">
        <v>0.33574292049911197</v>
      </c>
    </row>
    <row r="141" spans="1:18" x14ac:dyDescent="0.15">
      <c r="A141" s="1">
        <v>43009</v>
      </c>
      <c r="B141" s="8">
        <v>0.57491000000000003</v>
      </c>
      <c r="C141" s="8">
        <v>-0.19975000000000001</v>
      </c>
      <c r="D141" s="8">
        <v>0.23587</v>
      </c>
      <c r="E141" s="2">
        <v>1.69855</v>
      </c>
      <c r="F141" s="2">
        <v>50</v>
      </c>
      <c r="G141" s="2">
        <v>4.166666666666667</v>
      </c>
      <c r="H141" s="2">
        <v>1.5989199999999999</v>
      </c>
      <c r="I141" s="8">
        <v>768.61500000000001</v>
      </c>
      <c r="J141">
        <v>2.2819830373401243E-2</v>
      </c>
      <c r="K141">
        <v>1.9430470835054833E-2</v>
      </c>
      <c r="L141">
        <v>1.0388520863527078</v>
      </c>
      <c r="M141" s="2">
        <v>0.91742999999999997</v>
      </c>
      <c r="N141">
        <v>0.74626402539091174</v>
      </c>
    </row>
    <row r="142" spans="1:18" x14ac:dyDescent="0.15">
      <c r="A142" s="1">
        <v>43101</v>
      </c>
      <c r="B142" s="8">
        <v>0.72208000000000006</v>
      </c>
      <c r="C142" s="8">
        <v>0.46298</v>
      </c>
      <c r="D142" s="8">
        <v>0.4677</v>
      </c>
      <c r="E142" s="2">
        <v>1.42913</v>
      </c>
      <c r="F142" s="2">
        <v>44.44444</v>
      </c>
      <c r="G142" s="2">
        <v>4.0333333333333332</v>
      </c>
      <c r="H142" s="2">
        <v>1.3070200000000001</v>
      </c>
      <c r="I142" s="8">
        <v>864.69899999999996</v>
      </c>
      <c r="J142">
        <v>1.9105596905322344E-2</v>
      </c>
      <c r="K142">
        <v>1.9999974413975732E-2</v>
      </c>
      <c r="L142">
        <v>1.0716154281735095</v>
      </c>
      <c r="M142" s="2">
        <v>0.60606000000000004</v>
      </c>
      <c r="N142">
        <v>0.35442861847608303</v>
      </c>
      <c r="O142">
        <v>31.551900688266205</v>
      </c>
      <c r="P142">
        <v>22.110780697261195</v>
      </c>
      <c r="Q142">
        <v>44.982580173639754</v>
      </c>
      <c r="R142">
        <v>27.562341193897669</v>
      </c>
    </row>
    <row r="143" spans="1:18" x14ac:dyDescent="0.15">
      <c r="A143" s="1">
        <v>43191</v>
      </c>
      <c r="B143" s="8">
        <v>0.51981999999999995</v>
      </c>
      <c r="C143" s="8">
        <v>-0.27757999999999999</v>
      </c>
      <c r="D143" s="8">
        <v>0.33567000000000002</v>
      </c>
      <c r="E143" s="2">
        <v>1.06365</v>
      </c>
      <c r="F143" s="2">
        <v>-15.38462</v>
      </c>
      <c r="G143" s="2">
        <v>3.9333333333333331</v>
      </c>
      <c r="H143" s="2">
        <v>0.97419999999999995</v>
      </c>
      <c r="I143" s="8">
        <v>931.50300000000004</v>
      </c>
      <c r="J143">
        <v>1.8018564840747892E-2</v>
      </c>
      <c r="K143">
        <v>2.0406281438800081E-2</v>
      </c>
      <c r="L143">
        <v>0.85594528052056151</v>
      </c>
      <c r="M143" s="2">
        <v>0.82830999999999999</v>
      </c>
      <c r="N143">
        <v>0.4183023464136455</v>
      </c>
      <c r="O143">
        <v>30.025501044688124</v>
      </c>
      <c r="P143">
        <v>20.806227793067219</v>
      </c>
      <c r="Q143">
        <v>42.321339395517953</v>
      </c>
      <c r="R143">
        <v>26.948935945479196</v>
      </c>
    </row>
    <row r="144" spans="1:18" x14ac:dyDescent="0.15">
      <c r="A144" s="1">
        <v>43282</v>
      </c>
      <c r="B144" s="8">
        <v>0.36101</v>
      </c>
      <c r="C144" s="8">
        <v>-0.70862999999999998</v>
      </c>
      <c r="D144" s="8">
        <v>0.35258</v>
      </c>
      <c r="E144" s="2">
        <v>0.79857999999999996</v>
      </c>
      <c r="F144" s="2">
        <v>-40.909089999999999</v>
      </c>
      <c r="G144" s="2">
        <v>3.7666666666666666</v>
      </c>
      <c r="H144" s="2">
        <v>-2.6079999999999999E-2</v>
      </c>
      <c r="I144" s="8">
        <v>881.38900000000001</v>
      </c>
      <c r="J144">
        <v>2.2205206710704205E-2</v>
      </c>
      <c r="K144">
        <v>2.124077575738062E-2</v>
      </c>
      <c r="L144">
        <v>0.83650415169967829</v>
      </c>
      <c r="M144" s="2">
        <v>0.74682999999999999</v>
      </c>
      <c r="N144">
        <v>0.45260588793696016</v>
      </c>
      <c r="O144">
        <v>30.505628598901609</v>
      </c>
      <c r="P144">
        <v>21.169902280689019</v>
      </c>
      <c r="Q144">
        <v>43.016512814690522</v>
      </c>
      <c r="R144">
        <v>27.330470701325282</v>
      </c>
    </row>
    <row r="145" spans="1:23" x14ac:dyDescent="0.15">
      <c r="A145" s="1">
        <v>43374</v>
      </c>
      <c r="B145" s="8">
        <v>0.57638999999999996</v>
      </c>
      <c r="C145" s="8">
        <v>0.72636000000000001</v>
      </c>
      <c r="D145" s="8">
        <v>0.2271</v>
      </c>
      <c r="E145" s="2">
        <v>0.69274999999999998</v>
      </c>
      <c r="F145" s="2">
        <v>46.153849999999998</v>
      </c>
      <c r="G145" s="2">
        <v>3.8333333333333335</v>
      </c>
      <c r="H145" s="2">
        <v>-1.17371</v>
      </c>
      <c r="I145" s="8">
        <v>669.31500000000005</v>
      </c>
      <c r="J145">
        <v>2.1200842788934953E-2</v>
      </c>
      <c r="K145">
        <v>2.137434581614121E-2</v>
      </c>
      <c r="L145">
        <v>0.81474317335273294</v>
      </c>
      <c r="M145" s="2">
        <v>0.66715999999999998</v>
      </c>
      <c r="N145">
        <v>0.45898202729893228</v>
      </c>
      <c r="O145">
        <v>30.96555007407137</v>
      </c>
      <c r="P145">
        <v>20.861967244852355</v>
      </c>
      <c r="Q145">
        <v>44.123784307698777</v>
      </c>
      <c r="R145">
        <v>27.91089866966297</v>
      </c>
    </row>
    <row r="146" spans="1:23" x14ac:dyDescent="0.15">
      <c r="A146" s="1">
        <v>43466</v>
      </c>
      <c r="B146" s="8">
        <v>0.65517000000000003</v>
      </c>
      <c r="C146" s="8">
        <v>0.16594999999999999</v>
      </c>
      <c r="D146" s="8">
        <v>0.97075</v>
      </c>
      <c r="E146" s="2">
        <v>0.34611999999999998</v>
      </c>
      <c r="F146" s="2">
        <v>-15.78947</v>
      </c>
      <c r="G146" s="2">
        <v>3.8666666666666667</v>
      </c>
      <c r="H146" s="2">
        <v>-0.47505999999999998</v>
      </c>
      <c r="I146" s="8">
        <v>607.97500000000002</v>
      </c>
      <c r="J146">
        <v>1.6562379161294154E-2</v>
      </c>
      <c r="K146">
        <v>1.8736988560674853E-2</v>
      </c>
      <c r="L146">
        <v>0.93981869985141309</v>
      </c>
      <c r="M146" s="2">
        <v>0.66274</v>
      </c>
      <c r="N146">
        <v>0.27298695677910106</v>
      </c>
      <c r="O146">
        <v>31.603538264535803</v>
      </c>
      <c r="P146">
        <v>20.770322343407255</v>
      </c>
      <c r="Q146">
        <v>44.711117298300678</v>
      </c>
      <c r="R146">
        <v>29.329175151899477</v>
      </c>
      <c r="S146">
        <v>10505586</v>
      </c>
      <c r="T146">
        <v>5559897</v>
      </c>
      <c r="U146">
        <v>2501142</v>
      </c>
      <c r="V146">
        <v>1750380</v>
      </c>
      <c r="W146">
        <v>694167</v>
      </c>
    </row>
    <row r="147" spans="1:23" x14ac:dyDescent="0.15">
      <c r="A147" s="1">
        <v>43556</v>
      </c>
      <c r="B147" s="8">
        <v>0.43828</v>
      </c>
      <c r="C147" s="8">
        <v>-0.48365000000000002</v>
      </c>
      <c r="D147" s="8">
        <v>0.32656000000000002</v>
      </c>
      <c r="E147" s="2">
        <v>1.33423</v>
      </c>
      <c r="F147" s="2">
        <v>12.5</v>
      </c>
      <c r="G147" s="2">
        <v>3.6333333333333333</v>
      </c>
      <c r="H147" s="2">
        <v>0.60992000000000002</v>
      </c>
      <c r="I147" s="8">
        <v>653.44200000000001</v>
      </c>
      <c r="J147">
        <v>1.9438868748743437E-2</v>
      </c>
      <c r="K147">
        <v>1.7290286863258526E-2</v>
      </c>
      <c r="L147">
        <v>0.77494058535693722</v>
      </c>
      <c r="M147" s="2">
        <v>0.87783</v>
      </c>
      <c r="N147">
        <v>-0.36317881925899315</v>
      </c>
      <c r="O147">
        <v>30.536548045669949</v>
      </c>
      <c r="P147">
        <v>20.486283320147521</v>
      </c>
      <c r="Q147">
        <v>43.629878004430772</v>
      </c>
      <c r="R147">
        <v>27.493482812431562</v>
      </c>
      <c r="S147">
        <v>10917265</v>
      </c>
      <c r="T147">
        <v>5834606</v>
      </c>
      <c r="U147">
        <v>2606152</v>
      </c>
      <c r="V147">
        <v>1709265</v>
      </c>
      <c r="W147">
        <v>767242</v>
      </c>
    </row>
    <row r="148" spans="1:23" x14ac:dyDescent="0.15">
      <c r="A148" s="1">
        <v>43647</v>
      </c>
      <c r="B148" s="8">
        <v>0.58352000000000004</v>
      </c>
      <c r="C148" s="8">
        <v>-0.29887000000000002</v>
      </c>
      <c r="D148" s="8">
        <v>0.22549</v>
      </c>
      <c r="E148" s="2">
        <v>1.2620199999999999</v>
      </c>
      <c r="F148" s="2">
        <v>-16.66667</v>
      </c>
      <c r="G148" s="2">
        <v>3.6</v>
      </c>
      <c r="H148" s="2">
        <v>-1.0279400000000001</v>
      </c>
      <c r="I148" s="8">
        <v>718.75599999999997</v>
      </c>
      <c r="J148">
        <v>1.7023068543265605E-2</v>
      </c>
      <c r="K148">
        <v>1.6318809216905407E-2</v>
      </c>
      <c r="L148">
        <v>0.82496613633492188</v>
      </c>
      <c r="M148" s="2">
        <v>0.72516000000000003</v>
      </c>
      <c r="N148">
        <v>-0.20359716023393981</v>
      </c>
      <c r="O148">
        <v>30.32317525290286</v>
      </c>
      <c r="P148">
        <v>21.087226346714477</v>
      </c>
      <c r="Q148">
        <v>42.078072129206539</v>
      </c>
      <c r="R148">
        <v>27.804227282787561</v>
      </c>
      <c r="S148">
        <v>11525673</v>
      </c>
      <c r="T148">
        <v>6189487</v>
      </c>
      <c r="U148">
        <v>2732190</v>
      </c>
      <c r="V148">
        <v>1833369</v>
      </c>
      <c r="W148">
        <v>770627</v>
      </c>
    </row>
    <row r="149" spans="1:23" x14ac:dyDescent="0.15">
      <c r="A149" s="1">
        <v>43739</v>
      </c>
      <c r="B149" s="8">
        <v>0.63078999999999996</v>
      </c>
      <c r="C149" s="8">
        <v>0.16647999999999999</v>
      </c>
      <c r="D149" s="8">
        <v>0.42481999999999998</v>
      </c>
      <c r="E149" s="2">
        <v>1.0350600000000001</v>
      </c>
      <c r="F149" s="2">
        <v>-13.33333</v>
      </c>
      <c r="G149" s="2">
        <v>3.6</v>
      </c>
      <c r="H149" s="2">
        <v>-0.34621000000000002</v>
      </c>
      <c r="I149" s="8">
        <v>778.73699999999997</v>
      </c>
      <c r="J149">
        <v>1.7085620147393187E-2</v>
      </c>
      <c r="K149">
        <v>1.6786218533114076E-2</v>
      </c>
      <c r="L149">
        <v>0.82617495856904666</v>
      </c>
      <c r="M149" s="2">
        <v>1.0079199999999999</v>
      </c>
      <c r="N149">
        <v>9.1666560709322553E-2</v>
      </c>
      <c r="O149">
        <v>30.684457739010085</v>
      </c>
      <c r="P149">
        <v>21.624188471705974</v>
      </c>
      <c r="Q149">
        <v>42.805830589850899</v>
      </c>
      <c r="R149">
        <v>27.623354155473379</v>
      </c>
      <c r="S149">
        <v>10728626</v>
      </c>
      <c r="T149">
        <v>5661410</v>
      </c>
      <c r="U149">
        <v>2569610</v>
      </c>
      <c r="V149">
        <v>1742351</v>
      </c>
      <c r="W149">
        <v>755255</v>
      </c>
    </row>
    <row r="150" spans="1:23" x14ac:dyDescent="0.15">
      <c r="A150" s="1">
        <v>43831</v>
      </c>
      <c r="B150" s="8">
        <v>0.58126999999999995</v>
      </c>
      <c r="C150" s="8">
        <v>0.24792</v>
      </c>
      <c r="D150" s="8">
        <v>0.86260000000000003</v>
      </c>
      <c r="E150" s="2">
        <v>-1.32829</v>
      </c>
      <c r="F150" s="2">
        <v>30.76923</v>
      </c>
      <c r="G150" s="2">
        <v>3.8333333333333335</v>
      </c>
      <c r="H150" s="2">
        <v>-0.90861000000000003</v>
      </c>
      <c r="I150" s="8">
        <v>323.20400000000001</v>
      </c>
      <c r="J150">
        <v>1.4767156328715466E-2</v>
      </c>
      <c r="K150">
        <v>1.5411520487295867E-2</v>
      </c>
      <c r="L150">
        <v>1.0455574273615973</v>
      </c>
      <c r="M150" s="2">
        <v>0.35637999999999997</v>
      </c>
      <c r="N150">
        <v>1.2857818495373368</v>
      </c>
      <c r="O150">
        <v>30.941394205325135</v>
      </c>
      <c r="P150">
        <v>21.076679826358518</v>
      </c>
      <c r="Q150">
        <v>43.69699340787966</v>
      </c>
      <c r="R150">
        <v>28.050509381737228</v>
      </c>
      <c r="S150">
        <v>9709375</v>
      </c>
      <c r="T150">
        <v>4853215</v>
      </c>
      <c r="U150">
        <v>2411343</v>
      </c>
      <c r="V150">
        <v>1671730</v>
      </c>
      <c r="W150">
        <v>773087</v>
      </c>
    </row>
    <row r="151" spans="1:23" x14ac:dyDescent="0.15">
      <c r="A151" s="1">
        <v>43922</v>
      </c>
      <c r="B151" s="8">
        <v>-0.50826000000000005</v>
      </c>
      <c r="C151" s="8">
        <v>-0.13486000000000001</v>
      </c>
      <c r="D151" s="8">
        <v>2.4597699999999998</v>
      </c>
      <c r="E151" s="2">
        <v>-9.0111799999999995</v>
      </c>
      <c r="F151" s="2">
        <v>-147.05882</v>
      </c>
      <c r="G151" s="2">
        <v>13</v>
      </c>
      <c r="H151" s="2">
        <v>-3.5059300000000002</v>
      </c>
      <c r="I151" s="8">
        <v>-1613.124</v>
      </c>
      <c r="J151">
        <v>8.1204360100080959E-4</v>
      </c>
      <c r="K151">
        <v>1.1841864133791173E-2</v>
      </c>
      <c r="L151">
        <v>3.7231597814697923</v>
      </c>
      <c r="M151" s="2">
        <v>0.56818000000000002</v>
      </c>
      <c r="N151">
        <v>2.6539302271590191</v>
      </c>
      <c r="O151">
        <v>30.136573596202584</v>
      </c>
      <c r="P151">
        <v>22.893568605420445</v>
      </c>
      <c r="Q151">
        <v>40.699691312627436</v>
      </c>
      <c r="R151">
        <v>26.816460870559876</v>
      </c>
      <c r="S151">
        <v>9473166</v>
      </c>
      <c r="T151">
        <v>5074160</v>
      </c>
      <c r="U151">
        <v>2228397</v>
      </c>
      <c r="V151">
        <v>1515887</v>
      </c>
      <c r="W151">
        <v>654722</v>
      </c>
    </row>
    <row r="152" spans="1:23" x14ac:dyDescent="0.15">
      <c r="A152" s="1">
        <v>44013</v>
      </c>
      <c r="B152" s="8">
        <v>0.94932000000000005</v>
      </c>
      <c r="C152" s="8">
        <v>0.19306000000000001</v>
      </c>
      <c r="D152" s="8">
        <v>0.26573000000000002</v>
      </c>
      <c r="E152" s="2">
        <v>9.7747700000000002</v>
      </c>
      <c r="F152" s="2">
        <v>-487.5</v>
      </c>
      <c r="G152" s="2">
        <v>8.8000000000000007</v>
      </c>
      <c r="H152" s="2">
        <v>3.0463900000000002</v>
      </c>
      <c r="I152" s="8">
        <v>-239.893</v>
      </c>
      <c r="J152">
        <v>1.6105125356818573E-2</v>
      </c>
      <c r="K152">
        <v>1.346285164707213E-2</v>
      </c>
      <c r="L152">
        <v>2.0908826118052661</v>
      </c>
      <c r="M152" s="2">
        <v>0.84745999999999999</v>
      </c>
      <c r="N152">
        <v>1.6582245166035097</v>
      </c>
      <c r="O152">
        <v>30.961791302845544</v>
      </c>
      <c r="P152">
        <v>23.649886611149157</v>
      </c>
      <c r="Q152">
        <v>41.046106029673787</v>
      </c>
      <c r="R152">
        <v>28.189381267713696</v>
      </c>
      <c r="S152">
        <v>11776703</v>
      </c>
      <c r="T152">
        <v>6501975</v>
      </c>
      <c r="U152">
        <v>2741613</v>
      </c>
      <c r="V152">
        <v>1795343</v>
      </c>
      <c r="W152">
        <v>737772</v>
      </c>
    </row>
    <row r="153" spans="1:23" x14ac:dyDescent="0.15">
      <c r="A153" s="1">
        <v>44105</v>
      </c>
      <c r="B153" s="8">
        <v>0.61192999999999997</v>
      </c>
      <c r="C153" s="8">
        <v>1.68923</v>
      </c>
      <c r="D153" s="8">
        <v>0.22488</v>
      </c>
      <c r="E153" s="2">
        <v>1.8714</v>
      </c>
      <c r="F153" s="2">
        <v>-41.935479999999998</v>
      </c>
      <c r="G153" s="2">
        <v>6.7333333333333334</v>
      </c>
      <c r="H153" s="2">
        <v>0.70518000000000003</v>
      </c>
      <c r="I153" s="8">
        <v>-66.191000000000003</v>
      </c>
      <c r="J153">
        <v>1.4888628113434993E-2</v>
      </c>
      <c r="K153">
        <v>1.3771135836880556E-2</v>
      </c>
      <c r="L153">
        <v>1.5850844942255338</v>
      </c>
      <c r="M153" s="2">
        <v>1.19048</v>
      </c>
      <c r="N153">
        <v>0.82755771451766058</v>
      </c>
      <c r="O153">
        <v>31.287494646812377</v>
      </c>
      <c r="P153">
        <v>24.176319887897591</v>
      </c>
      <c r="Q153">
        <v>40.290061415103374</v>
      </c>
      <c r="R153">
        <v>29.396102637436169</v>
      </c>
      <c r="S153">
        <v>12529969</v>
      </c>
      <c r="T153">
        <v>6679029</v>
      </c>
      <c r="U153">
        <v>3017881</v>
      </c>
      <c r="V153">
        <v>2009293</v>
      </c>
      <c r="W153">
        <v>823766</v>
      </c>
    </row>
    <row r="154" spans="1:23" x14ac:dyDescent="0.15">
      <c r="A154" s="1">
        <v>44197</v>
      </c>
      <c r="B154" s="8">
        <v>0.38401999999999997</v>
      </c>
      <c r="C154" s="8">
        <v>1.2710900000000001</v>
      </c>
      <c r="D154" s="8">
        <v>0.64197000000000004</v>
      </c>
      <c r="E154" s="2">
        <v>3.3340800000000002</v>
      </c>
      <c r="F154" s="2">
        <v>100</v>
      </c>
      <c r="G154" s="2">
        <v>6.2333333333333334</v>
      </c>
      <c r="H154" s="2">
        <v>3.5281400000000001</v>
      </c>
      <c r="I154" s="8">
        <v>755.12800000000004</v>
      </c>
      <c r="J154">
        <v>1.54513912491213E-2</v>
      </c>
      <c r="K154">
        <v>1.4348011419799916E-2</v>
      </c>
      <c r="L154">
        <v>1.3718374667935642</v>
      </c>
      <c r="M154" s="2">
        <v>0.83045000000000002</v>
      </c>
      <c r="N154">
        <v>1.811035695277539</v>
      </c>
      <c r="O154">
        <v>32.339079915867465</v>
      </c>
      <c r="P154">
        <v>24.977065596090426</v>
      </c>
      <c r="Q154">
        <v>40.765340378391762</v>
      </c>
      <c r="R154">
        <v>31.274833773120204</v>
      </c>
      <c r="S154">
        <v>12127980</v>
      </c>
      <c r="T154">
        <v>6445786</v>
      </c>
      <c r="U154">
        <v>2935189</v>
      </c>
      <c r="V154">
        <v>1995806</v>
      </c>
      <c r="W154">
        <v>751199</v>
      </c>
    </row>
    <row r="155" spans="1:23" x14ac:dyDescent="0.15">
      <c r="A155" s="1">
        <v>44287</v>
      </c>
      <c r="B155" s="8">
        <v>1.7285699999999999</v>
      </c>
      <c r="C155" s="8">
        <v>2.8496999999999999</v>
      </c>
      <c r="D155" s="8">
        <v>1.15402</v>
      </c>
      <c r="E155" s="2">
        <v>4.81785</v>
      </c>
      <c r="F155" s="2">
        <v>66.666669999999996</v>
      </c>
      <c r="G155" s="2">
        <v>5.9333333333333336</v>
      </c>
      <c r="H155" s="2">
        <v>3.5640000000000001</v>
      </c>
      <c r="I155" s="8">
        <v>3024.46</v>
      </c>
      <c r="J155">
        <v>1.8927044291403211E-2</v>
      </c>
      <c r="K155">
        <v>1.5859295327069086E-2</v>
      </c>
      <c r="L155">
        <v>0.94221207801626894</v>
      </c>
      <c r="M155" s="2">
        <v>1.5785899999999999</v>
      </c>
      <c r="N155">
        <v>2.8255212317073366</v>
      </c>
      <c r="O155">
        <v>31.496466010926472</v>
      </c>
      <c r="P155">
        <v>22.562558030848848</v>
      </c>
      <c r="Q155">
        <v>40.246730031602404</v>
      </c>
      <c r="R155">
        <v>31.680109970328164</v>
      </c>
      <c r="S155">
        <v>12940227</v>
      </c>
      <c r="T155">
        <v>6862252</v>
      </c>
      <c r="U155">
        <v>3141585</v>
      </c>
      <c r="V155">
        <v>2079836</v>
      </c>
      <c r="W155">
        <v>856554</v>
      </c>
    </row>
    <row r="156" spans="1:23" x14ac:dyDescent="0.15">
      <c r="A156" s="1">
        <v>44378</v>
      </c>
      <c r="B156" s="8">
        <v>1.2786299999999999</v>
      </c>
      <c r="C156" s="8">
        <v>2.19068</v>
      </c>
      <c r="D156" s="8">
        <v>1.8530500000000001</v>
      </c>
      <c r="E156" s="2">
        <v>2.0953900000000001</v>
      </c>
      <c r="F156" s="2">
        <v>-20</v>
      </c>
      <c r="G156" s="2">
        <v>5.0666666666666664</v>
      </c>
      <c r="H156" s="2">
        <v>1.4318</v>
      </c>
      <c r="I156" s="8">
        <v>1835.8789999999999</v>
      </c>
      <c r="J156">
        <v>2.4065552763272043E-2</v>
      </c>
      <c r="K156">
        <v>1.6159198641212531E-2</v>
      </c>
      <c r="L156">
        <v>0.73965318456786411</v>
      </c>
      <c r="M156" s="2">
        <v>1.2837799999999999</v>
      </c>
      <c r="N156">
        <v>3.1617044536967733</v>
      </c>
      <c r="O156">
        <v>32.007664219389277</v>
      </c>
      <c r="P156">
        <v>22.704289063630501</v>
      </c>
      <c r="Q156">
        <v>40.953316632035005</v>
      </c>
      <c r="R156">
        <v>32.365386962502321</v>
      </c>
      <c r="S156">
        <v>12809298</v>
      </c>
      <c r="T156">
        <v>6647626</v>
      </c>
      <c r="U156">
        <v>3170375</v>
      </c>
      <c r="V156">
        <v>2092090</v>
      </c>
      <c r="W156">
        <v>899207</v>
      </c>
    </row>
    <row r="157" spans="1:23" x14ac:dyDescent="0.15">
      <c r="A157" s="1">
        <v>44470</v>
      </c>
      <c r="B157" s="8">
        <v>1.5432699999999999</v>
      </c>
      <c r="C157" s="8">
        <v>3.92489</v>
      </c>
      <c r="D157" s="8">
        <v>2.1352699999999998</v>
      </c>
      <c r="E157" s="2">
        <v>2.6594899999999999</v>
      </c>
      <c r="F157" s="2">
        <v>8.3333300000000001</v>
      </c>
      <c r="G157" s="2">
        <v>4.166666666666667</v>
      </c>
      <c r="H157" s="2">
        <v>2.0802399999999999</v>
      </c>
      <c r="I157" s="8">
        <v>2293.5189999999998</v>
      </c>
      <c r="J157">
        <v>2.3181722208964032E-2</v>
      </c>
      <c r="K157">
        <v>1.7100703537761167E-2</v>
      </c>
      <c r="L157">
        <v>0.57537077577912032</v>
      </c>
      <c r="M157" s="2">
        <v>1.2675099999999999</v>
      </c>
      <c r="N157">
        <v>4.1548367845804863</v>
      </c>
      <c r="O157">
        <v>32.340988723136803</v>
      </c>
      <c r="P157">
        <v>23.292650133155337</v>
      </c>
      <c r="Q157">
        <v>41.145493752861235</v>
      </c>
      <c r="R157">
        <v>32.584822283393841</v>
      </c>
      <c r="S157">
        <v>12620189</v>
      </c>
      <c r="T157">
        <v>6215429</v>
      </c>
      <c r="U157">
        <v>3261615</v>
      </c>
      <c r="V157">
        <v>2196879</v>
      </c>
      <c r="W157">
        <v>946266</v>
      </c>
    </row>
    <row r="158" spans="1:23" x14ac:dyDescent="0.15">
      <c r="A158" s="1">
        <v>44562</v>
      </c>
      <c r="B158" s="8">
        <v>1.63507</v>
      </c>
      <c r="C158" s="8">
        <v>3.3879600000000001</v>
      </c>
      <c r="D158" s="8">
        <v>2.5232399999999999</v>
      </c>
      <c r="E158" s="2">
        <v>1.8688199999999999</v>
      </c>
      <c r="F158" s="2">
        <v>15.38462</v>
      </c>
      <c r="G158" s="2">
        <v>3.8</v>
      </c>
      <c r="H158" s="2">
        <v>4.1969900000000004</v>
      </c>
      <c r="I158" s="8">
        <v>2034.5830000000001</v>
      </c>
      <c r="J158">
        <v>2.6422920475067876E-2</v>
      </c>
      <c r="K158">
        <v>1.8883005304965849E-2</v>
      </c>
      <c r="L158">
        <v>0.58504816060715004</v>
      </c>
      <c r="M158" s="2">
        <v>1.4492799999999999</v>
      </c>
      <c r="N158">
        <v>3.0706438356140286</v>
      </c>
      <c r="O158">
        <v>34.168997875420381</v>
      </c>
      <c r="P158">
        <v>26.13598479964838</v>
      </c>
      <c r="Q158">
        <v>41.333277854379553</v>
      </c>
      <c r="R158">
        <v>35.037730972233206</v>
      </c>
      <c r="S158">
        <v>12911779</v>
      </c>
      <c r="T158">
        <v>6645977</v>
      </c>
      <c r="U158">
        <v>3259334</v>
      </c>
      <c r="V158">
        <v>2103085</v>
      </c>
      <c r="W158">
        <v>903383</v>
      </c>
    </row>
    <row r="159" spans="1:23" x14ac:dyDescent="0.15">
      <c r="A159" s="1">
        <v>44652</v>
      </c>
      <c r="B159" s="8">
        <v>1.43727</v>
      </c>
      <c r="C159" s="8">
        <v>6.2577999999999996</v>
      </c>
      <c r="D159" s="8">
        <v>3.1306099999999999</v>
      </c>
      <c r="E159" s="2">
        <v>2.2574999999999998</v>
      </c>
      <c r="F159" s="2">
        <v>-21.66667</v>
      </c>
      <c r="G159" s="2">
        <v>3.6333333333333333</v>
      </c>
      <c r="H159" s="2">
        <v>3.42258</v>
      </c>
      <c r="I159" s="8">
        <v>1864.548</v>
      </c>
      <c r="J159">
        <v>3.7514248774649324E-2</v>
      </c>
      <c r="K159">
        <v>2.3276375193522075E-2</v>
      </c>
      <c r="L159">
        <v>0.50570745382851179</v>
      </c>
      <c r="M159" s="2">
        <v>1.16883</v>
      </c>
      <c r="N159">
        <v>2.8545511276962352</v>
      </c>
      <c r="O159">
        <v>34.098092000506206</v>
      </c>
      <c r="P159">
        <v>25.739796154062088</v>
      </c>
      <c r="Q159">
        <v>40.788209801081187</v>
      </c>
      <c r="R159">
        <v>35.766270046375354</v>
      </c>
      <c r="S159">
        <v>13520944</v>
      </c>
      <c r="T159">
        <v>6813231</v>
      </c>
      <c r="U159">
        <v>3489326</v>
      </c>
      <c r="V159">
        <v>2224705</v>
      </c>
      <c r="W159">
        <v>993682</v>
      </c>
    </row>
    <row r="160" spans="1:23" x14ac:dyDescent="0.15">
      <c r="A160" s="1">
        <v>44743</v>
      </c>
      <c r="B160" s="8">
        <v>1.5228900000000001</v>
      </c>
      <c r="C160" s="8">
        <v>4.75922</v>
      </c>
      <c r="D160" s="8">
        <v>2.9542199999999998</v>
      </c>
      <c r="E160" s="2">
        <v>1.54521</v>
      </c>
      <c r="F160" s="2">
        <v>6.3829799999999999</v>
      </c>
      <c r="G160" s="2">
        <v>3.5333333333333332</v>
      </c>
      <c r="H160" s="2">
        <v>-2.2737500000000002</v>
      </c>
      <c r="I160" s="8">
        <v>1763.115</v>
      </c>
      <c r="J160">
        <v>3.6218530136457441E-2</v>
      </c>
      <c r="K160">
        <v>2.2293846552543375E-2</v>
      </c>
      <c r="L160">
        <v>0.53837395409261934</v>
      </c>
      <c r="M160" s="2">
        <v>1.15533</v>
      </c>
      <c r="N160">
        <v>1.4186766155276793</v>
      </c>
      <c r="S160">
        <v>12873944</v>
      </c>
      <c r="T160">
        <v>6167749</v>
      </c>
      <c r="U160">
        <v>3432424</v>
      </c>
      <c r="V160">
        <v>2208907</v>
      </c>
      <c r="W160">
        <v>1064864</v>
      </c>
    </row>
    <row r="161" spans="1:23" x14ac:dyDescent="0.15">
      <c r="A161" s="1">
        <v>44835</v>
      </c>
      <c r="B161" s="8">
        <v>1.2538400000000001</v>
      </c>
      <c r="C161" s="8">
        <v>-2.5000000000000001E-4</v>
      </c>
      <c r="D161" s="8">
        <v>1.65889</v>
      </c>
      <c r="E161" s="2">
        <v>1.31681</v>
      </c>
      <c r="F161" s="2">
        <v>-6</v>
      </c>
      <c r="G161" s="2">
        <v>3.5666666666666669</v>
      </c>
      <c r="H161" s="2">
        <v>-1.8428899999999999</v>
      </c>
      <c r="I161" s="8">
        <v>1313.2349999999999</v>
      </c>
      <c r="J161">
        <v>2.3482855423691069E-2</v>
      </c>
      <c r="K161">
        <v>0.52353825773052298</v>
      </c>
      <c r="L161" s="2">
        <v>0.52277051883800585</v>
      </c>
      <c r="M161" s="2">
        <v>1.2055800000000001</v>
      </c>
      <c r="N161">
        <v>1.2113038449712532</v>
      </c>
      <c r="S161">
        <v>4104152</v>
      </c>
      <c r="T161">
        <v>1811473</v>
      </c>
      <c r="U161">
        <v>1111000</v>
      </c>
      <c r="V161">
        <v>809685</v>
      </c>
      <c r="W161">
        <v>371994</v>
      </c>
    </row>
    <row r="162" spans="1:23" x14ac:dyDescent="0.15">
      <c r="A162" s="1">
        <v>44927</v>
      </c>
      <c r="B162" s="8">
        <v>1.2073499999999999</v>
      </c>
      <c r="C162" s="8">
        <v>1.10941</v>
      </c>
      <c r="D162" s="8">
        <v>1.3237099999999999</v>
      </c>
      <c r="E162" s="2">
        <v>1.9674</v>
      </c>
      <c r="F162" s="2">
        <v>6.3829799999999999</v>
      </c>
      <c r="G162" s="2">
        <v>3.5</v>
      </c>
      <c r="H162" s="2">
        <v>-0.91527999999999998</v>
      </c>
      <c r="I162" s="8">
        <v>1326.9269999999999</v>
      </c>
      <c r="J162">
        <v>2.2166576128409377E-2</v>
      </c>
      <c r="K162">
        <v>0.64252400356425166</v>
      </c>
      <c r="L162" s="2">
        <v>0.64129032258064511</v>
      </c>
      <c r="M162" s="2">
        <v>1.0031300000000001</v>
      </c>
      <c r="N162">
        <v>-0.10719921108432302</v>
      </c>
    </row>
    <row r="163" spans="1:23" x14ac:dyDescent="0.15">
      <c r="A163" s="1">
        <v>45017</v>
      </c>
      <c r="B163" s="8">
        <v>1.14974</v>
      </c>
      <c r="C163" s="8">
        <v>-3.5776400000000002</v>
      </c>
      <c r="D163" s="8">
        <v>0.60411999999999999</v>
      </c>
      <c r="E163" s="2">
        <v>0.81794</v>
      </c>
      <c r="F163" s="2">
        <v>-26</v>
      </c>
      <c r="G163" s="2">
        <v>3.5666666666666669</v>
      </c>
      <c r="H163" s="2">
        <v>-0.66318999999999995</v>
      </c>
      <c r="I163" s="8">
        <v>1096.1890000000001</v>
      </c>
      <c r="J163">
        <v>2.0070665180545993E-2</v>
      </c>
      <c r="K163">
        <v>0.60947333262998959</v>
      </c>
      <c r="L163" s="2">
        <v>0.60203045685279188</v>
      </c>
      <c r="M163" s="2">
        <v>1.05525</v>
      </c>
      <c r="N163">
        <v>-1.3281823222406779</v>
      </c>
    </row>
    <row r="164" spans="1:23" x14ac:dyDescent="0.15">
      <c r="A164" s="1">
        <v>45108</v>
      </c>
      <c r="B164" s="8">
        <v>0.73880999999999997</v>
      </c>
      <c r="C164" s="8">
        <v>4.7699999999999999E-2</v>
      </c>
      <c r="D164" s="8">
        <v>0.61633000000000004</v>
      </c>
      <c r="E164" s="2">
        <v>1.4142999999999999</v>
      </c>
      <c r="F164" s="2">
        <v>-45.945950000000003</v>
      </c>
      <c r="G164" s="2">
        <v>3.7</v>
      </c>
      <c r="H164" s="2">
        <v>0.30997000000000002</v>
      </c>
      <c r="I164" s="8">
        <v>1212.287</v>
      </c>
      <c r="J164">
        <v>2.1416656237064666E-2</v>
      </c>
      <c r="K164">
        <v>0.6725031118964736</v>
      </c>
      <c r="L164" s="2">
        <v>0.67250512041810862</v>
      </c>
      <c r="M164" s="2">
        <v>0.92137999999999998</v>
      </c>
      <c r="N164">
        <v>-0.8767765622357192</v>
      </c>
    </row>
    <row r="165" spans="1:23" x14ac:dyDescent="0.15">
      <c r="A165" s="1">
        <v>45200</v>
      </c>
      <c r="B165" s="8">
        <v>0.82894999999999996</v>
      </c>
      <c r="C165" s="8">
        <v>1.45648</v>
      </c>
      <c r="D165" s="8">
        <v>0.40983999999999998</v>
      </c>
      <c r="E165" s="2">
        <v>1.25806</v>
      </c>
      <c r="F165" s="2">
        <v>0</v>
      </c>
      <c r="G165" s="2">
        <v>3.7333333333333334</v>
      </c>
      <c r="H165" s="2">
        <v>-0.66556000000000004</v>
      </c>
      <c r="I165" s="8">
        <v>1142.6410000000001</v>
      </c>
      <c r="J165">
        <v>2.3417291137848895E-2</v>
      </c>
      <c r="K165">
        <v>0.68934961215522328</v>
      </c>
      <c r="L165" s="2">
        <v>0.68862714809808845</v>
      </c>
      <c r="M165" s="7">
        <v>-0.133333333</v>
      </c>
      <c r="N165">
        <v>-0.12669260219929876</v>
      </c>
    </row>
    <row r="166" spans="1:23" x14ac:dyDescent="0.15">
      <c r="C166" s="5"/>
      <c r="D166" s="5"/>
      <c r="E166" s="5"/>
      <c r="F166" s="5"/>
      <c r="G166" s="5"/>
      <c r="H166" s="5"/>
    </row>
  </sheetData>
  <hyperlinks>
    <hyperlink ref="M1" r:id="rId1" display="Employment Cost Index" xr:uid="{00000000-0004-0000-0100-000000000000}"/>
    <hyperlink ref="B1" r:id="rId2" display="CPI, quarterly, annualized" xr:uid="{00000000-0004-0000-0100-000001000000}"/>
    <hyperlink ref="C1" r:id="rId3" xr:uid="{32D69265-9BB8-ED4C-8A0A-885C066C8289}"/>
    <hyperlink ref="D1" r:id="rId4" location="0" xr:uid="{E9E7DFC2-D4D5-954C-ACB8-A52AA842A7E9}"/>
    <hyperlink ref="J1" r:id="rId5" xr:uid="{01A28671-C045-A24F-A8E5-CF81AD46F2FA}"/>
    <hyperlink ref="K1" r:id="rId6" xr:uid="{5BF12814-4DAC-E34F-AED2-5A682EBEC85B}"/>
    <hyperlink ref="E1" r:id="rId7" xr:uid="{C688E92A-6D53-634E-B392-B2B619032D35}"/>
    <hyperlink ref="F1" r:id="rId8" location="0" xr:uid="{7C62B5D9-BAE9-544F-8A5D-FBE30D524B42}"/>
    <hyperlink ref="H1" r:id="rId9" location="0" xr:uid="{A3748368-90C0-5F47-A43C-53D725F1A49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topLeftCell="A2" zoomScale="124" workbookViewId="0">
      <selection activeCell="B14" sqref="B14"/>
    </sheetView>
  </sheetViews>
  <sheetFormatPr baseColWidth="10" defaultColWidth="10.83203125" defaultRowHeight="13" x14ac:dyDescent="0.15"/>
  <cols>
    <col min="1" max="1" width="11.33203125" customWidth="1"/>
    <col min="2" max="2" width="49.83203125" customWidth="1"/>
    <col min="3" max="3" width="18.5" customWidth="1"/>
    <col min="4" max="4" width="13.83203125" customWidth="1"/>
    <col min="5" max="5" width="12.83203125" customWidth="1"/>
    <col min="6" max="6" width="12.33203125" bestFit="1" customWidth="1"/>
  </cols>
  <sheetData>
    <row r="1" spans="1:7" ht="13" customHeight="1" thickBot="1" x14ac:dyDescent="0.2">
      <c r="A1" s="24" t="s">
        <v>38</v>
      </c>
      <c r="B1" s="26" t="s">
        <v>93</v>
      </c>
      <c r="C1" s="25" t="s">
        <v>27</v>
      </c>
      <c r="D1" s="26" t="s">
        <v>39</v>
      </c>
      <c r="E1" s="25" t="s">
        <v>94</v>
      </c>
      <c r="F1" s="26" t="s">
        <v>26</v>
      </c>
      <c r="G1" s="12" t="s">
        <v>8</v>
      </c>
    </row>
    <row r="2" spans="1:7" x14ac:dyDescent="0.15">
      <c r="A2" s="29" t="s">
        <v>1</v>
      </c>
      <c r="B2" s="30" t="s">
        <v>70</v>
      </c>
      <c r="C2" s="29" t="s">
        <v>67</v>
      </c>
      <c r="D2" s="29" t="s">
        <v>60</v>
      </c>
      <c r="E2" s="29" t="s">
        <v>77</v>
      </c>
      <c r="F2" s="29" t="s">
        <v>11</v>
      </c>
      <c r="G2" s="13" t="s">
        <v>71</v>
      </c>
    </row>
    <row r="3" spans="1:7" x14ac:dyDescent="0.15">
      <c r="A3" s="27" t="s">
        <v>12</v>
      </c>
      <c r="B3" s="28" t="s">
        <v>37</v>
      </c>
      <c r="C3" s="27" t="s">
        <v>67</v>
      </c>
      <c r="D3" s="27" t="s">
        <v>60</v>
      </c>
      <c r="E3" s="27" t="s">
        <v>77</v>
      </c>
      <c r="F3" s="27" t="s">
        <v>11</v>
      </c>
      <c r="G3" s="13" t="s">
        <v>13</v>
      </c>
    </row>
    <row r="4" spans="1:7" x14ac:dyDescent="0.15">
      <c r="A4" s="21" t="s">
        <v>14</v>
      </c>
      <c r="B4" s="19" t="s">
        <v>36</v>
      </c>
      <c r="C4" s="14" t="s">
        <v>67</v>
      </c>
      <c r="D4" s="14" t="s">
        <v>60</v>
      </c>
      <c r="E4" s="14"/>
      <c r="F4" s="16" t="s">
        <v>11</v>
      </c>
      <c r="G4" s="13" t="s">
        <v>15</v>
      </c>
    </row>
    <row r="5" spans="1:7" x14ac:dyDescent="0.15">
      <c r="A5" s="21" t="s">
        <v>42</v>
      </c>
      <c r="B5" s="19" t="s">
        <v>46</v>
      </c>
      <c r="C5" s="14" t="s">
        <v>67</v>
      </c>
      <c r="D5" s="14" t="s">
        <v>60</v>
      </c>
      <c r="E5" s="14" t="s">
        <v>77</v>
      </c>
      <c r="F5" s="14" t="s">
        <v>11</v>
      </c>
      <c r="G5" s="13"/>
    </row>
    <row r="6" spans="1:7" x14ac:dyDescent="0.15">
      <c r="A6" s="21" t="s">
        <v>43</v>
      </c>
      <c r="B6" s="19" t="s">
        <v>45</v>
      </c>
      <c r="C6" s="14" t="s">
        <v>67</v>
      </c>
      <c r="D6" s="14" t="s">
        <v>60</v>
      </c>
      <c r="E6" s="14" t="s">
        <v>77</v>
      </c>
      <c r="F6" s="14" t="s">
        <v>11</v>
      </c>
      <c r="G6" s="13" t="s">
        <v>44</v>
      </c>
    </row>
    <row r="7" spans="1:7" x14ac:dyDescent="0.15">
      <c r="A7" s="15" t="s">
        <v>65</v>
      </c>
      <c r="B7" s="19" t="s">
        <v>66</v>
      </c>
      <c r="C7" s="14" t="s">
        <v>67</v>
      </c>
      <c r="D7" s="14" t="s">
        <v>60</v>
      </c>
      <c r="E7" s="14" t="s">
        <v>77</v>
      </c>
      <c r="F7" s="14" t="s">
        <v>11</v>
      </c>
      <c r="G7" s="13"/>
    </row>
    <row r="8" spans="1:7" x14ac:dyDescent="0.15">
      <c r="A8" s="21" t="s">
        <v>59</v>
      </c>
      <c r="B8" s="19" t="s">
        <v>61</v>
      </c>
      <c r="C8" s="14" t="s">
        <v>67</v>
      </c>
      <c r="D8" s="14" t="s">
        <v>60</v>
      </c>
      <c r="E8" s="14"/>
      <c r="F8" s="14" t="s">
        <v>11</v>
      </c>
      <c r="G8" s="13" t="s">
        <v>62</v>
      </c>
    </row>
    <row r="9" spans="1:7" x14ac:dyDescent="0.15">
      <c r="A9" s="21" t="s">
        <v>23</v>
      </c>
      <c r="B9" s="19" t="s">
        <v>35</v>
      </c>
      <c r="C9" s="14" t="s">
        <v>28</v>
      </c>
      <c r="D9" s="14" t="s">
        <v>60</v>
      </c>
      <c r="E9" s="14" t="s">
        <v>77</v>
      </c>
      <c r="F9" s="16" t="s">
        <v>11</v>
      </c>
      <c r="G9" s="22" t="s">
        <v>22</v>
      </c>
    </row>
    <row r="10" spans="1:7" x14ac:dyDescent="0.15">
      <c r="A10" s="21" t="s">
        <v>4</v>
      </c>
      <c r="B10" s="20" t="s">
        <v>6</v>
      </c>
      <c r="C10" s="14" t="s">
        <v>29</v>
      </c>
      <c r="D10" s="14" t="s">
        <v>60</v>
      </c>
      <c r="E10" s="14"/>
      <c r="F10" s="16" t="s">
        <v>9</v>
      </c>
      <c r="G10" s="13" t="s">
        <v>10</v>
      </c>
    </row>
    <row r="11" spans="1:7" x14ac:dyDescent="0.15">
      <c r="A11" s="21" t="s">
        <v>5</v>
      </c>
      <c r="B11" s="20" t="s">
        <v>7</v>
      </c>
      <c r="C11" s="14" t="s">
        <v>29</v>
      </c>
      <c r="D11" s="14" t="s">
        <v>60</v>
      </c>
      <c r="E11" s="14"/>
      <c r="F11" s="17" t="s">
        <v>9</v>
      </c>
      <c r="G11" s="13" t="s">
        <v>10</v>
      </c>
    </row>
    <row r="12" spans="1:7" x14ac:dyDescent="0.15">
      <c r="A12" s="14" t="s">
        <v>95</v>
      </c>
      <c r="B12" s="19" t="s">
        <v>97</v>
      </c>
      <c r="C12" s="14" t="s">
        <v>30</v>
      </c>
      <c r="D12" s="14" t="s">
        <v>60</v>
      </c>
      <c r="E12" s="14"/>
      <c r="F12" s="16" t="s">
        <v>24</v>
      </c>
      <c r="G12" s="7" t="s">
        <v>25</v>
      </c>
    </row>
    <row r="13" spans="1:7" x14ac:dyDescent="0.15">
      <c r="A13" s="14" t="s">
        <v>2</v>
      </c>
      <c r="B13" s="19" t="s">
        <v>34</v>
      </c>
      <c r="C13" s="14" t="s">
        <v>67</v>
      </c>
      <c r="D13" s="14" t="s">
        <v>40</v>
      </c>
      <c r="E13" s="14" t="s">
        <v>77</v>
      </c>
      <c r="F13" s="16" t="s">
        <v>11</v>
      </c>
      <c r="G13" t="s">
        <v>3</v>
      </c>
    </row>
    <row r="14" spans="1:7" x14ac:dyDescent="0.15">
      <c r="A14" s="14" t="s">
        <v>68</v>
      </c>
      <c r="B14" s="19" t="s">
        <v>17</v>
      </c>
      <c r="C14" s="14" t="s">
        <v>88</v>
      </c>
      <c r="D14" s="14" t="s">
        <v>41</v>
      </c>
      <c r="E14" s="14"/>
      <c r="F14" s="16" t="s">
        <v>18</v>
      </c>
      <c r="G14" s="13" t="s">
        <v>19</v>
      </c>
    </row>
    <row r="15" spans="1:7" x14ac:dyDescent="0.15">
      <c r="A15" s="14" t="s">
        <v>63</v>
      </c>
      <c r="B15" s="19" t="s">
        <v>64</v>
      </c>
      <c r="C15" s="14" t="s">
        <v>87</v>
      </c>
      <c r="D15" s="14" t="s">
        <v>49</v>
      </c>
      <c r="E15" s="14"/>
      <c r="F15" s="16" t="s">
        <v>20</v>
      </c>
      <c r="G15" s="13" t="s">
        <v>21</v>
      </c>
    </row>
    <row r="16" spans="1:7" x14ac:dyDescent="0.15">
      <c r="A16" s="14" t="s">
        <v>86</v>
      </c>
      <c r="B16" s="19" t="s">
        <v>33</v>
      </c>
      <c r="C16" s="14" t="s">
        <v>87</v>
      </c>
      <c r="D16" s="14" t="s">
        <v>49</v>
      </c>
      <c r="E16" s="14"/>
      <c r="F16" s="16" t="s">
        <v>20</v>
      </c>
      <c r="G16" s="13" t="s">
        <v>21</v>
      </c>
    </row>
    <row r="17" spans="1:11" x14ac:dyDescent="0.15">
      <c r="A17" s="14" t="s">
        <v>85</v>
      </c>
      <c r="B17" s="19" t="s">
        <v>32</v>
      </c>
      <c r="C17" s="14" t="s">
        <v>87</v>
      </c>
      <c r="D17" s="14" t="s">
        <v>49</v>
      </c>
      <c r="E17" s="14"/>
      <c r="F17" s="16" t="s">
        <v>20</v>
      </c>
      <c r="G17" s="13" t="s">
        <v>21</v>
      </c>
    </row>
    <row r="18" spans="1:11" x14ac:dyDescent="0.15">
      <c r="A18" s="14" t="s">
        <v>84</v>
      </c>
      <c r="B18" s="19" t="s">
        <v>31</v>
      </c>
      <c r="C18" s="14" t="s">
        <v>87</v>
      </c>
      <c r="D18" s="14" t="s">
        <v>49</v>
      </c>
      <c r="E18" s="14"/>
      <c r="F18" s="16" t="s">
        <v>20</v>
      </c>
      <c r="G18" s="13" t="s">
        <v>21</v>
      </c>
    </row>
    <row r="19" spans="1:11" x14ac:dyDescent="0.15">
      <c r="A19" s="14" t="s">
        <v>47</v>
      </c>
      <c r="B19" s="19" t="s">
        <v>58</v>
      </c>
      <c r="C19" s="14" t="s">
        <v>83</v>
      </c>
      <c r="D19" s="14" t="s">
        <v>48</v>
      </c>
      <c r="E19" s="14"/>
      <c r="F19" s="16" t="s">
        <v>20</v>
      </c>
      <c r="G19" s="13" t="s">
        <v>21</v>
      </c>
    </row>
    <row r="20" spans="1:11" x14ac:dyDescent="0.15">
      <c r="A20" s="14" t="s">
        <v>50</v>
      </c>
      <c r="B20" s="19" t="s">
        <v>54</v>
      </c>
      <c r="C20" s="14" t="s">
        <v>83</v>
      </c>
      <c r="D20" s="14" t="s">
        <v>48</v>
      </c>
      <c r="E20" s="14"/>
      <c r="F20" s="16" t="s">
        <v>20</v>
      </c>
      <c r="G20" s="13" t="s">
        <v>21</v>
      </c>
    </row>
    <row r="21" spans="1:11" x14ac:dyDescent="0.15">
      <c r="A21" s="14" t="s">
        <v>51</v>
      </c>
      <c r="B21" s="19" t="s">
        <v>57</v>
      </c>
      <c r="C21" s="14" t="s">
        <v>83</v>
      </c>
      <c r="D21" s="14" t="s">
        <v>48</v>
      </c>
      <c r="E21" s="14"/>
      <c r="F21" s="16" t="s">
        <v>20</v>
      </c>
      <c r="G21" s="13" t="s">
        <v>21</v>
      </c>
    </row>
    <row r="22" spans="1:11" x14ac:dyDescent="0.15">
      <c r="A22" s="14" t="s">
        <v>53</v>
      </c>
      <c r="B22" s="19" t="s">
        <v>56</v>
      </c>
      <c r="C22" s="14" t="s">
        <v>83</v>
      </c>
      <c r="D22" s="14" t="s">
        <v>48</v>
      </c>
      <c r="E22" s="14"/>
      <c r="F22" s="16" t="s">
        <v>20</v>
      </c>
      <c r="G22" s="13" t="s">
        <v>21</v>
      </c>
    </row>
    <row r="23" spans="1:11" x14ac:dyDescent="0.15">
      <c r="A23" s="14" t="s">
        <v>52</v>
      </c>
      <c r="B23" s="19" t="s">
        <v>55</v>
      </c>
      <c r="C23" s="14" t="s">
        <v>83</v>
      </c>
      <c r="D23" s="14" t="s">
        <v>48</v>
      </c>
      <c r="E23" s="14"/>
      <c r="F23" s="16" t="s">
        <v>20</v>
      </c>
      <c r="G23" s="13" t="s">
        <v>21</v>
      </c>
      <c r="K23" s="4"/>
    </row>
    <row r="24" spans="1:11" x14ac:dyDescent="0.15">
      <c r="A24" s="14" t="s">
        <v>96</v>
      </c>
      <c r="B24" s="19" t="s">
        <v>80</v>
      </c>
      <c r="C24" s="17"/>
      <c r="D24" s="17"/>
      <c r="E24" s="17"/>
      <c r="F24" s="17"/>
    </row>
    <row r="25" spans="1:11" x14ac:dyDescent="0.15">
      <c r="A25" s="14" t="s">
        <v>72</v>
      </c>
      <c r="B25" s="19" t="s">
        <v>81</v>
      </c>
      <c r="C25" s="17"/>
      <c r="D25" s="17"/>
      <c r="E25" s="17"/>
      <c r="F25" s="17"/>
    </row>
    <row r="26" spans="1:11" x14ac:dyDescent="0.15">
      <c r="A26" s="14" t="s">
        <v>78</v>
      </c>
      <c r="B26" s="19" t="s">
        <v>82</v>
      </c>
      <c r="C26" s="17"/>
      <c r="D26" s="17"/>
      <c r="E26" s="17"/>
      <c r="F26" s="17"/>
    </row>
    <row r="27" spans="1:11" x14ac:dyDescent="0.15">
      <c r="A27" s="14" t="s">
        <v>73</v>
      </c>
      <c r="B27" s="19" t="s">
        <v>89</v>
      </c>
      <c r="C27" s="18"/>
      <c r="D27" s="17"/>
      <c r="E27" s="18"/>
      <c r="F27" s="17"/>
    </row>
    <row r="28" spans="1:11" x14ac:dyDescent="0.15">
      <c r="A28" s="14" t="s">
        <v>74</v>
      </c>
      <c r="B28" s="19" t="s">
        <v>90</v>
      </c>
      <c r="C28" s="18"/>
      <c r="D28" s="17"/>
      <c r="E28" s="18"/>
      <c r="F28" s="17"/>
    </row>
    <row r="29" spans="1:11" x14ac:dyDescent="0.15">
      <c r="A29" s="14" t="s">
        <v>75</v>
      </c>
      <c r="B29" s="19" t="s">
        <v>91</v>
      </c>
      <c r="C29" s="17"/>
      <c r="D29" s="17"/>
      <c r="E29" s="17"/>
      <c r="F29" s="17"/>
    </row>
    <row r="30" spans="1:11" x14ac:dyDescent="0.15">
      <c r="A30" s="14" t="s">
        <v>76</v>
      </c>
      <c r="B30" s="19" t="s">
        <v>92</v>
      </c>
      <c r="C30" s="14"/>
      <c r="D30" s="14"/>
      <c r="E30" s="14"/>
      <c r="F30" s="16"/>
    </row>
    <row r="31" spans="1:11" x14ac:dyDescent="0.15">
      <c r="A31" s="23"/>
      <c r="B31" s="23"/>
      <c r="C31" s="23"/>
      <c r="E31" s="23"/>
    </row>
    <row r="32" spans="1:11" x14ac:dyDescent="0.15">
      <c r="A32" s="23"/>
      <c r="B32" s="23"/>
      <c r="C32" s="23"/>
      <c r="E32" s="23"/>
    </row>
    <row r="33" spans="1:7" x14ac:dyDescent="0.15">
      <c r="A33" s="23"/>
      <c r="C33" s="23"/>
      <c r="E33" s="23"/>
    </row>
    <row r="34" spans="1:7" x14ac:dyDescent="0.15">
      <c r="B34" s="4"/>
      <c r="C34" s="4"/>
      <c r="D34" s="4"/>
      <c r="E34" s="4"/>
      <c r="F34" s="4"/>
    </row>
    <row r="37" spans="1:7" x14ac:dyDescent="0.15">
      <c r="B37" s="4"/>
      <c r="C37" s="4"/>
      <c r="D37" s="4"/>
      <c r="E37" s="4"/>
      <c r="F37" s="4"/>
      <c r="G37" s="13"/>
    </row>
    <row r="44" spans="1:7" x14ac:dyDescent="0.15">
      <c r="B44" s="4"/>
      <c r="C44" s="4"/>
      <c r="D44" s="4"/>
      <c r="E44" s="4"/>
      <c r="F44" s="4"/>
      <c r="G44" s="4"/>
    </row>
    <row r="45" spans="1:7" x14ac:dyDescent="0.15">
      <c r="B45" s="4"/>
      <c r="C45" s="4"/>
      <c r="D45" s="4"/>
      <c r="E45" s="4"/>
      <c r="F45" s="4"/>
      <c r="G45" s="13"/>
    </row>
    <row r="46" spans="1:7" x14ac:dyDescent="0.15">
      <c r="B46" s="4"/>
      <c r="C46" s="4"/>
      <c r="D46" s="4"/>
      <c r="E46" s="4"/>
      <c r="F46" s="4"/>
      <c r="G46" s="13"/>
    </row>
    <row r="47" spans="1:7" x14ac:dyDescent="0.15">
      <c r="B47" s="4"/>
      <c r="C47" s="4"/>
      <c r="D47" s="4"/>
      <c r="E47" s="4"/>
      <c r="F47" s="4"/>
      <c r="G47" s="13"/>
    </row>
    <row r="48" spans="1:7" x14ac:dyDescent="0.15">
      <c r="B48" s="4"/>
      <c r="C48" s="4"/>
      <c r="D48" s="4"/>
      <c r="E48" s="4"/>
      <c r="F48" s="4"/>
      <c r="G48" s="13"/>
    </row>
    <row r="49" spans="2:6" x14ac:dyDescent="0.15">
      <c r="B49" s="4"/>
      <c r="C49" s="4"/>
      <c r="D49" s="4"/>
      <c r="E49" s="4"/>
      <c r="F49" s="4"/>
    </row>
    <row r="50" spans="2:6" x14ac:dyDescent="0.15">
      <c r="B50" s="4"/>
      <c r="C50" s="4"/>
      <c r="D50" s="4"/>
      <c r="E50" s="4"/>
      <c r="F50" s="4"/>
    </row>
    <row r="51" spans="2:6" x14ac:dyDescent="0.15">
      <c r="B51" s="4"/>
      <c r="C51" s="4"/>
      <c r="D51" s="4"/>
      <c r="E51" s="4"/>
      <c r="F51" s="4"/>
    </row>
  </sheetData>
  <hyperlinks>
    <hyperlink ref="G16" r:id="rId1" xr:uid="{00000000-0004-0000-0300-000002000000}"/>
    <hyperlink ref="G17" r:id="rId2" xr:uid="{00000000-0004-0000-0300-000003000000}"/>
    <hyperlink ref="G18" r:id="rId3" xr:uid="{00000000-0004-0000-0300-000004000000}"/>
    <hyperlink ref="G3" r:id="rId4" xr:uid="{F48DBDBC-4BBA-3740-9917-5B087ED69A8C}"/>
    <hyperlink ref="G4" r:id="rId5" location="0" xr:uid="{7CCF73B6-BD6B-BF4A-AA4A-35B6DF606162}"/>
    <hyperlink ref="G10" r:id="rId6" xr:uid="{976F41D3-08D2-714F-B501-036DAD6AC908}"/>
    <hyperlink ref="G11" r:id="rId7" xr:uid="{9C2B7253-6957-214E-B637-F97F67CA4942}"/>
    <hyperlink ref="G14" r:id="rId8" location="/overview" xr:uid="{0F80AFD3-1045-0648-9A52-AEFF5042263F}"/>
    <hyperlink ref="G19" r:id="rId9" xr:uid="{244E775E-6162-914A-A5C5-8D920989FC1C}"/>
    <hyperlink ref="G20" r:id="rId10" xr:uid="{7CB1595F-E327-D448-B8C8-8579B205DAF3}"/>
    <hyperlink ref="G21" r:id="rId11" xr:uid="{C3AD961F-BBD8-144C-8D84-D56E6FC23AA7}"/>
    <hyperlink ref="G22" r:id="rId12" xr:uid="{8555D532-832E-F440-8179-159012832571}"/>
    <hyperlink ref="G23" r:id="rId13" xr:uid="{7778408F-150F-1D44-9152-CFA5E7C69318}"/>
    <hyperlink ref="G15" r:id="rId14" xr:uid="{6B6AA975-A59A-484E-A4DA-EA0898D6963E}"/>
    <hyperlink ref="G9" r:id="rId15" xr:uid="{DC68FCD8-EC45-A44A-B547-E68C99202D06}"/>
    <hyperlink ref="A4" r:id="rId16" location="0" xr:uid="{725CE5F5-C26D-434A-A049-6B5BD1EBD4FC}"/>
    <hyperlink ref="A5" r:id="rId17" xr:uid="{6E10ECD6-C0D2-E04F-92D4-67CF8595F286}"/>
    <hyperlink ref="A6" r:id="rId18" location="0" xr:uid="{B9438606-F298-174B-A349-30C7DD997A75}"/>
    <hyperlink ref="A8" r:id="rId19" location="0" xr:uid="{2EF0557A-BAFF-E946-9FA4-6B216387C4C6}"/>
    <hyperlink ref="A9" r:id="rId20" xr:uid="{4BDB7B8F-15B0-674E-A2D2-C2695A3680B5}"/>
    <hyperlink ref="A10" r:id="rId21" xr:uid="{07AB34A4-E55A-7A46-A7A4-94058CAEBB28}"/>
    <hyperlink ref="A11" r:id="rId22" display="EI1" xr:uid="{41DD6B25-408C-D440-B324-0E5666B76509}"/>
  </hyperlinks>
  <pageMargins left="0.7" right="0.7" top="0.75" bottom="0.75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84B4-7527-4DE8-B893-DCBBFC306DF9}">
  <dimension ref="A1:U166"/>
  <sheetViews>
    <sheetView zoomScale="82" workbookViewId="0">
      <pane ySplit="1" topLeftCell="A120" activePane="bottomLeft" state="frozen"/>
      <selection pane="bottomLeft" activeCell="L63" sqref="L63:M165"/>
    </sheetView>
  </sheetViews>
  <sheetFormatPr baseColWidth="10" defaultColWidth="8.83203125" defaultRowHeight="13" x14ac:dyDescent="0.15"/>
  <cols>
    <col min="1" max="1" width="11.1640625" style="11" customWidth="1"/>
    <col min="2" max="2" width="7.33203125" customWidth="1"/>
    <col min="3" max="3" width="7.6640625" bestFit="1" customWidth="1"/>
    <col min="4" max="8" width="7.83203125" customWidth="1"/>
    <col min="9" max="9" width="9.1640625" bestFit="1" customWidth="1"/>
    <col min="10" max="11" width="10.83203125"/>
    <col min="14" max="14" width="7.6640625" customWidth="1"/>
  </cols>
  <sheetData>
    <row r="1" spans="1:21" x14ac:dyDescent="0.15">
      <c r="A1" s="10" t="s">
        <v>0</v>
      </c>
      <c r="B1" s="3" t="s">
        <v>1</v>
      </c>
      <c r="C1" s="3" t="s">
        <v>12</v>
      </c>
      <c r="D1" s="3" t="s">
        <v>14</v>
      </c>
      <c r="E1" s="3" t="s">
        <v>42</v>
      </c>
      <c r="F1" s="3" t="s">
        <v>43</v>
      </c>
      <c r="G1" s="9" t="s">
        <v>65</v>
      </c>
      <c r="H1" s="3" t="s">
        <v>59</v>
      </c>
      <c r="I1" s="3" t="s">
        <v>23</v>
      </c>
      <c r="J1" s="3">
        <v>1</v>
      </c>
      <c r="K1" s="3">
        <v>10</v>
      </c>
      <c r="L1" s="3" t="s">
        <v>4</v>
      </c>
      <c r="M1" s="3" t="s">
        <v>5</v>
      </c>
      <c r="N1" s="7" t="s">
        <v>95</v>
      </c>
      <c r="O1" s="7" t="s">
        <v>96</v>
      </c>
      <c r="P1" s="7" t="s">
        <v>78</v>
      </c>
      <c r="Q1" s="7" t="s">
        <v>73</v>
      </c>
      <c r="R1" s="7" t="s">
        <v>74</v>
      </c>
      <c r="S1" s="7" t="s">
        <v>75</v>
      </c>
      <c r="T1" s="7" t="s">
        <v>76</v>
      </c>
      <c r="U1" s="7" t="s">
        <v>107</v>
      </c>
    </row>
    <row r="2" spans="1:21" x14ac:dyDescent="0.15">
      <c r="A2" s="11">
        <v>30317</v>
      </c>
      <c r="B2" s="2">
        <v>0.61643999999999999</v>
      </c>
      <c r="C2" s="2">
        <v>2.0498799999999999</v>
      </c>
      <c r="D2" s="2">
        <v>0.92149999999999999</v>
      </c>
      <c r="E2" s="2">
        <v>1.8192600000000001</v>
      </c>
      <c r="F2" s="2">
        <v>-5.2631600000000001</v>
      </c>
      <c r="G2" s="2">
        <v>10.366666666666667</v>
      </c>
      <c r="H2" s="2">
        <v>-2.7534399999999999</v>
      </c>
      <c r="I2" s="8">
        <v>146.46799999999999</v>
      </c>
      <c r="J2">
        <v>4.5073036666666656E-2</v>
      </c>
      <c r="K2">
        <v>4.7294843333333336E-2</v>
      </c>
      <c r="L2">
        <f>J2*100</f>
        <v>4.5073036666666653</v>
      </c>
      <c r="M2">
        <f>K2*100</f>
        <v>4.7294843333333336</v>
      </c>
      <c r="N2">
        <v>2.4466666666666668</v>
      </c>
      <c r="Q2" s="7">
        <f>IF(MONTH(A2) = 1, 1, 0)</f>
        <v>1</v>
      </c>
      <c r="R2">
        <f>IF(MONTH(A2) = 4, 1, 0)</f>
        <v>0</v>
      </c>
      <c r="S2">
        <f>IF(MONTH(A2) = 7, 1, 0)</f>
        <v>0</v>
      </c>
      <c r="T2">
        <f>IF(MONTH(A2) = 10, 1, 0)</f>
        <v>0</v>
      </c>
      <c r="U2" s="2">
        <v>-3.6488100000000001</v>
      </c>
    </row>
    <row r="3" spans="1:21" x14ac:dyDescent="0.15">
      <c r="A3" s="11">
        <v>30407</v>
      </c>
      <c r="B3" s="2">
        <v>0.98707</v>
      </c>
      <c r="C3" s="2">
        <v>1.30566</v>
      </c>
      <c r="D3" s="2">
        <v>1.01454</v>
      </c>
      <c r="E3" s="2">
        <v>2.96774</v>
      </c>
      <c r="F3" s="2">
        <v>-42.592590000000001</v>
      </c>
      <c r="G3" s="2">
        <v>10.133333333333333</v>
      </c>
      <c r="H3" s="2">
        <v>0.12870000000000001</v>
      </c>
      <c r="I3" s="8">
        <v>203.244</v>
      </c>
      <c r="J3">
        <v>4.4625013333333331E-2</v>
      </c>
      <c r="K3">
        <v>4.6657454333333327E-2</v>
      </c>
      <c r="L3">
        <f t="shared" ref="L3:L66" si="0">J3*100</f>
        <v>4.462501333333333</v>
      </c>
      <c r="M3">
        <f t="shared" ref="M3:M66" si="1">K3*100</f>
        <v>4.665745433333333</v>
      </c>
      <c r="N3">
        <v>2.69</v>
      </c>
      <c r="Q3" s="7">
        <f>IF(MONTH(A3) = 1, 1, 0)</f>
        <v>0</v>
      </c>
      <c r="R3">
        <f>IF(MONTH(A3) = 4, 1, 0)</f>
        <v>1</v>
      </c>
      <c r="S3">
        <f>IF(MONTH(A3) = 7, 1, 0)</f>
        <v>0</v>
      </c>
      <c r="T3">
        <f>IF(MONTH(A3) = 10, 1, 0)</f>
        <v>0</v>
      </c>
      <c r="U3" s="2">
        <v>-6.54223</v>
      </c>
    </row>
    <row r="4" spans="1:21" x14ac:dyDescent="0.15">
      <c r="A4" s="11">
        <v>30498</v>
      </c>
      <c r="B4" s="2">
        <v>1.24705</v>
      </c>
      <c r="C4" s="2">
        <v>0.13219</v>
      </c>
      <c r="D4" s="2">
        <v>3.3480000000000003E-2</v>
      </c>
      <c r="E4" s="2">
        <v>3.1326399999999999</v>
      </c>
      <c r="F4" s="2">
        <v>100</v>
      </c>
      <c r="G4" s="2">
        <v>9.3666666666666671</v>
      </c>
      <c r="H4" s="2">
        <v>-0.25707000000000002</v>
      </c>
      <c r="I4" s="8">
        <v>293.50200000000001</v>
      </c>
      <c r="J4">
        <v>5.0855189999999995E-2</v>
      </c>
      <c r="K4">
        <v>4.9979892666666664E-2</v>
      </c>
      <c r="L4">
        <f t="shared" si="0"/>
        <v>5.0855189999999997</v>
      </c>
      <c r="M4">
        <f t="shared" si="1"/>
        <v>4.9979892666666661</v>
      </c>
      <c r="N4">
        <v>2.9633333333333334</v>
      </c>
      <c r="Q4" s="7">
        <f>IF(MONTH(A4) = 1, 1, 0)</f>
        <v>0</v>
      </c>
      <c r="R4">
        <f>IF(MONTH(A4) = 4, 1, 0)</f>
        <v>0</v>
      </c>
      <c r="S4">
        <f>IF(MONTH(A4) = 7, 1, 0)</f>
        <v>1</v>
      </c>
      <c r="T4">
        <f>IF(MONTH(A4) = 10, 1, 0)</f>
        <v>0</v>
      </c>
      <c r="U4" s="2">
        <v>-3.7465099999999998</v>
      </c>
    </row>
    <row r="5" spans="1:21" x14ac:dyDescent="0.15">
      <c r="A5" s="11">
        <v>30590</v>
      </c>
      <c r="B5" s="2">
        <v>1.29827</v>
      </c>
      <c r="C5" s="2">
        <v>1.4191400000000001</v>
      </c>
      <c r="D5" s="2">
        <v>0.30120000000000002</v>
      </c>
      <c r="E5" s="2">
        <v>2.2673399999999999</v>
      </c>
      <c r="F5" s="2">
        <v>-48.387099999999997</v>
      </c>
      <c r="G5" s="2">
        <v>8.5333333333333332</v>
      </c>
      <c r="H5" s="2">
        <v>0.51546000000000003</v>
      </c>
      <c r="I5" s="8">
        <v>351.70100000000002</v>
      </c>
      <c r="J5">
        <v>5.1721677666666667E-2</v>
      </c>
      <c r="K5">
        <v>5.0443155666666663E-2</v>
      </c>
      <c r="L5">
        <f t="shared" si="0"/>
        <v>5.172167766666667</v>
      </c>
      <c r="M5">
        <f t="shared" si="1"/>
        <v>5.0443155666666666</v>
      </c>
      <c r="N5">
        <v>3.3533333333333335</v>
      </c>
      <c r="Q5" s="7">
        <f>IF(MONTH(A5) = 1, 1, 0)</f>
        <v>0</v>
      </c>
      <c r="R5">
        <f>IF(MONTH(A5) = 4, 1, 0)</f>
        <v>0</v>
      </c>
      <c r="S5">
        <f>IF(MONTH(A5) = 7, 1, 0)</f>
        <v>0</v>
      </c>
      <c r="T5">
        <f>IF(MONTH(A5) = 10, 1, 0)</f>
        <v>1</v>
      </c>
      <c r="U5" s="2">
        <v>-3.7132000000000001</v>
      </c>
    </row>
    <row r="6" spans="1:21" x14ac:dyDescent="0.15">
      <c r="A6" s="11">
        <v>30682</v>
      </c>
      <c r="B6" s="2">
        <v>1.38022</v>
      </c>
      <c r="C6" s="2">
        <v>0.35796</v>
      </c>
      <c r="D6" s="2">
        <v>2.7694399999999999</v>
      </c>
      <c r="E6" s="2">
        <v>1.92483</v>
      </c>
      <c r="F6" s="2">
        <v>28.125</v>
      </c>
      <c r="G6" s="2">
        <v>7.8666666666666671</v>
      </c>
      <c r="H6" s="2">
        <v>0.89744000000000002</v>
      </c>
      <c r="I6" s="8">
        <v>367.05900000000003</v>
      </c>
      <c r="J6">
        <v>5.0466915666666667E-2</v>
      </c>
      <c r="K6">
        <v>5.0906632333333333E-2</v>
      </c>
      <c r="L6">
        <f t="shared" si="0"/>
        <v>5.0466915666666665</v>
      </c>
      <c r="M6">
        <f t="shared" si="1"/>
        <v>5.0906632333333333</v>
      </c>
      <c r="N6">
        <v>3.6300000000000003</v>
      </c>
      <c r="O6">
        <f>N6-N2</f>
        <v>1.1833333333333336</v>
      </c>
      <c r="P6" s="2">
        <f>H6-H2</f>
        <v>3.6508799999999999</v>
      </c>
      <c r="Q6" s="7">
        <f>IF(MONTH(A6) = 1, 1, 0)</f>
        <v>1</v>
      </c>
      <c r="R6">
        <f>IF(MONTH(A6) = 4, 1, 0)</f>
        <v>0</v>
      </c>
      <c r="S6">
        <f>IF(MONTH(A6) = 7, 1, 0)</f>
        <v>0</v>
      </c>
      <c r="T6">
        <f>IF(MONTH(A6) = 10, 1, 0)</f>
        <v>0</v>
      </c>
      <c r="U6" s="2">
        <v>0.62007999999999996</v>
      </c>
    </row>
    <row r="7" spans="1:21" x14ac:dyDescent="0.15">
      <c r="A7" s="11">
        <v>30773</v>
      </c>
      <c r="B7" s="2">
        <v>1.23177</v>
      </c>
      <c r="C7" s="2">
        <v>1.00519</v>
      </c>
      <c r="D7" s="2">
        <v>0.19481000000000001</v>
      </c>
      <c r="E7" s="2">
        <v>2.38611</v>
      </c>
      <c r="F7" s="2">
        <v>17.073170000000001</v>
      </c>
      <c r="G7" s="2">
        <v>7.4333333333333336</v>
      </c>
      <c r="H7" s="2">
        <v>0.25413000000000002</v>
      </c>
      <c r="I7" s="8">
        <v>349.6</v>
      </c>
      <c r="J7">
        <v>5.4889862000000005E-2</v>
      </c>
      <c r="K7">
        <v>5.4984280666666663E-2</v>
      </c>
      <c r="L7">
        <f t="shared" si="0"/>
        <v>5.4889862000000003</v>
      </c>
      <c r="M7">
        <f t="shared" si="1"/>
        <v>5.4984280666666665</v>
      </c>
      <c r="N7">
        <v>3.8766666666666665</v>
      </c>
      <c r="O7">
        <f t="shared" ref="O7:O70" si="2">N7-N3</f>
        <v>1.1866666666666665</v>
      </c>
      <c r="P7" s="2">
        <f>H7-H3</f>
        <v>0.12543000000000001</v>
      </c>
      <c r="Q7" s="7">
        <f>IF(MONTH(A7) = 1, 1, 0)</f>
        <v>0</v>
      </c>
      <c r="R7">
        <f>IF(MONTH(A7) = 4, 1, 0)</f>
        <v>1</v>
      </c>
      <c r="S7">
        <f>IF(MONTH(A7) = 7, 1, 0)</f>
        <v>0</v>
      </c>
      <c r="T7">
        <f>IF(MONTH(A7) = 10, 1, 0)</f>
        <v>0</v>
      </c>
      <c r="U7" s="2">
        <v>-1.9600500000000001</v>
      </c>
    </row>
    <row r="8" spans="1:21" x14ac:dyDescent="0.15">
      <c r="A8" s="11">
        <v>30864</v>
      </c>
      <c r="B8" s="2">
        <v>1.2487999999999999</v>
      </c>
      <c r="C8" s="2">
        <v>2.1187800000000001</v>
      </c>
      <c r="D8" s="2">
        <v>0.74529999999999996</v>
      </c>
      <c r="E8" s="2">
        <v>1.52135</v>
      </c>
      <c r="F8" s="2">
        <v>-20.83333</v>
      </c>
      <c r="G8" s="2">
        <v>7.4333333333333336</v>
      </c>
      <c r="H8" s="2">
        <v>-1.52091</v>
      </c>
      <c r="I8" s="8">
        <v>294.91199999999998</v>
      </c>
      <c r="J8">
        <v>5.3406469333333338E-2</v>
      </c>
      <c r="K8">
        <v>5.5346867999999994E-2</v>
      </c>
      <c r="L8">
        <f t="shared" si="0"/>
        <v>5.3406469333333337</v>
      </c>
      <c r="M8">
        <f t="shared" si="1"/>
        <v>5.5346867999999994</v>
      </c>
      <c r="N8">
        <v>3.9366666666666661</v>
      </c>
      <c r="O8">
        <f t="shared" si="2"/>
        <v>0.97333333333333272</v>
      </c>
      <c r="P8" s="2">
        <f>H8-H4</f>
        <v>-1.2638400000000001</v>
      </c>
      <c r="Q8" s="7">
        <f>IF(MONTH(A8) = 1, 1, 0)</f>
        <v>0</v>
      </c>
      <c r="R8">
        <f>IF(MONTH(A8) = 4, 1, 0)</f>
        <v>0</v>
      </c>
      <c r="S8">
        <f>IF(MONTH(A8) = 7, 1, 0)</f>
        <v>1</v>
      </c>
      <c r="T8">
        <f>IF(MONTH(A8) = 10, 1, 0)</f>
        <v>0</v>
      </c>
      <c r="U8" s="2">
        <v>1.2960400000000001</v>
      </c>
    </row>
    <row r="9" spans="1:21" x14ac:dyDescent="0.15">
      <c r="A9" s="11">
        <v>30956</v>
      </c>
      <c r="B9" s="2">
        <v>1.0120199999999999</v>
      </c>
      <c r="C9" s="2">
        <v>0.56586000000000003</v>
      </c>
      <c r="D9" s="2">
        <v>0.12866</v>
      </c>
      <c r="E9" s="2">
        <v>1.9189499999999999</v>
      </c>
      <c r="F9" s="2">
        <v>-23.68421</v>
      </c>
      <c r="G9" s="2">
        <v>7.3</v>
      </c>
      <c r="H9" s="2">
        <v>-0.90090000000000003</v>
      </c>
      <c r="I9" s="8">
        <v>250.82499999999999</v>
      </c>
      <c r="J9">
        <v>5.0674824666666674E-2</v>
      </c>
      <c r="K9">
        <v>5.0883249666666665E-2</v>
      </c>
      <c r="L9">
        <f t="shared" si="0"/>
        <v>5.0674824666666671</v>
      </c>
      <c r="M9">
        <f t="shared" si="1"/>
        <v>5.0883249666666668</v>
      </c>
      <c r="N9">
        <v>3.9866666666666668</v>
      </c>
      <c r="O9">
        <f t="shared" si="2"/>
        <v>0.6333333333333333</v>
      </c>
      <c r="P9" s="2">
        <f>H9-H5</f>
        <v>-1.4163600000000001</v>
      </c>
      <c r="Q9" s="7">
        <f>IF(MONTH(A9) = 1, 1, 0)</f>
        <v>0</v>
      </c>
      <c r="R9">
        <f>IF(MONTH(A9) = 4, 1, 0)</f>
        <v>0</v>
      </c>
      <c r="S9">
        <f>IF(MONTH(A9) = 7, 1, 0)</f>
        <v>0</v>
      </c>
      <c r="T9">
        <f>IF(MONTH(A9) = 10, 1, 0)</f>
        <v>1</v>
      </c>
      <c r="U9" s="2">
        <v>0.6825</v>
      </c>
    </row>
    <row r="10" spans="1:21" x14ac:dyDescent="0.15">
      <c r="A10" s="11">
        <v>31048</v>
      </c>
      <c r="B10" s="2">
        <v>1.0958000000000001</v>
      </c>
      <c r="C10" s="2">
        <v>9.3780000000000002E-2</v>
      </c>
      <c r="D10" s="2">
        <v>1.41343</v>
      </c>
      <c r="E10" s="2">
        <v>2.8990399999999998</v>
      </c>
      <c r="F10" s="2">
        <v>93.103449999999995</v>
      </c>
      <c r="G10" s="2">
        <v>7.2333333333333334</v>
      </c>
      <c r="H10" s="2">
        <v>-1.9480500000000001</v>
      </c>
      <c r="I10" s="8">
        <v>246.249</v>
      </c>
      <c r="J10">
        <v>4.8421602000000001E-2</v>
      </c>
      <c r="K10">
        <v>5.1396746666666666E-2</v>
      </c>
      <c r="L10">
        <f t="shared" si="0"/>
        <v>4.8421602000000004</v>
      </c>
      <c r="M10">
        <f t="shared" si="1"/>
        <v>5.1396746666666671</v>
      </c>
      <c r="N10">
        <v>4</v>
      </c>
      <c r="O10">
        <f t="shared" si="2"/>
        <v>0.36999999999999966</v>
      </c>
      <c r="P10" s="2">
        <f>H10-H6</f>
        <v>-2.8454899999999999</v>
      </c>
      <c r="Q10" s="7">
        <f>IF(MONTH(A10) = 1, 1, 0)</f>
        <v>1</v>
      </c>
      <c r="R10">
        <f>IF(MONTH(A10) = 4, 1, 0)</f>
        <v>0</v>
      </c>
      <c r="S10">
        <f>IF(MONTH(A10) = 7, 1, 0)</f>
        <v>0</v>
      </c>
      <c r="T10">
        <f>IF(MONTH(A10) = 10, 1, 0)</f>
        <v>0</v>
      </c>
      <c r="U10" s="2">
        <v>0.45272000000000001</v>
      </c>
    </row>
    <row r="11" spans="1:21" x14ac:dyDescent="0.15">
      <c r="A11" s="11">
        <v>31138</v>
      </c>
      <c r="B11" s="2">
        <v>1.0529599999999999</v>
      </c>
      <c r="C11" s="2">
        <v>0.43723000000000001</v>
      </c>
      <c r="D11" s="2">
        <v>0.15837999999999999</v>
      </c>
      <c r="E11" s="2">
        <v>1.7349300000000001</v>
      </c>
      <c r="F11" s="2">
        <v>-37.5</v>
      </c>
      <c r="G11" s="2">
        <v>7.3</v>
      </c>
      <c r="H11" s="2">
        <v>0.39734999999999998</v>
      </c>
      <c r="I11" s="8">
        <v>214.81800000000001</v>
      </c>
      <c r="J11">
        <v>4.7308111333333326E-2</v>
      </c>
      <c r="K11">
        <v>4.8651426999999997E-2</v>
      </c>
      <c r="L11">
        <f t="shared" si="0"/>
        <v>4.7308111333333329</v>
      </c>
      <c r="M11">
        <f t="shared" si="1"/>
        <v>4.8651426999999998</v>
      </c>
      <c r="N11">
        <v>4.0199999999999996</v>
      </c>
      <c r="O11">
        <f t="shared" si="2"/>
        <v>0.14333333333333309</v>
      </c>
      <c r="P11" s="2">
        <f>H11-H7</f>
        <v>0.14321999999999996</v>
      </c>
      <c r="Q11" s="7">
        <f>IF(MONTH(A11) = 1, 1, 0)</f>
        <v>0</v>
      </c>
      <c r="R11">
        <f>IF(MONTH(A11) = 4, 1, 0)</f>
        <v>1</v>
      </c>
      <c r="S11">
        <f>IF(MONTH(A11) = 7, 1, 0)</f>
        <v>0</v>
      </c>
      <c r="T11">
        <f>IF(MONTH(A11) = 10, 1, 0)</f>
        <v>0</v>
      </c>
      <c r="U11" s="2">
        <v>-0.69203000000000003</v>
      </c>
    </row>
    <row r="12" spans="1:21" x14ac:dyDescent="0.15">
      <c r="A12" s="11">
        <v>31229</v>
      </c>
      <c r="B12" s="2">
        <v>0.88875000000000004</v>
      </c>
      <c r="C12" s="2">
        <v>-0.62189000000000005</v>
      </c>
      <c r="D12" s="2">
        <v>0.1265</v>
      </c>
      <c r="E12" s="2">
        <v>2.6997100000000001</v>
      </c>
      <c r="F12" s="2">
        <v>20</v>
      </c>
      <c r="G12" s="2">
        <v>7.2</v>
      </c>
      <c r="H12" s="2">
        <v>0.26384999999999997</v>
      </c>
      <c r="I12" s="8">
        <v>237.27099999999999</v>
      </c>
      <c r="J12">
        <v>4.4326927333333342E-2</v>
      </c>
      <c r="K12">
        <v>4.6338346000000002E-2</v>
      </c>
      <c r="L12">
        <f t="shared" si="0"/>
        <v>4.4326927333333339</v>
      </c>
      <c r="M12">
        <f t="shared" si="1"/>
        <v>4.6338346000000001</v>
      </c>
      <c r="N12">
        <v>4.043333333333333</v>
      </c>
      <c r="O12">
        <f t="shared" si="2"/>
        <v>0.10666666666666691</v>
      </c>
      <c r="P12" s="2">
        <f>H12-H8</f>
        <v>1.7847599999999999</v>
      </c>
      <c r="Q12" s="7">
        <f>IF(MONTH(A12) = 1, 1, 0)</f>
        <v>0</v>
      </c>
      <c r="R12">
        <f>IF(MONTH(A12) = 4, 1, 0)</f>
        <v>0</v>
      </c>
      <c r="S12">
        <f>IF(MONTH(A12) = 7, 1, 0)</f>
        <v>1</v>
      </c>
      <c r="T12">
        <f>IF(MONTH(A12) = 10, 1, 0)</f>
        <v>0</v>
      </c>
      <c r="U12" s="2">
        <v>-1.78647</v>
      </c>
    </row>
    <row r="13" spans="1:21" x14ac:dyDescent="0.15">
      <c r="A13" s="11">
        <v>31321</v>
      </c>
      <c r="B13" s="2">
        <v>1.1543099999999999</v>
      </c>
      <c r="C13" s="2">
        <v>-0.34417999999999999</v>
      </c>
      <c r="D13" s="2">
        <v>0.53695999999999999</v>
      </c>
      <c r="E13" s="2">
        <v>0.91618999999999995</v>
      </c>
      <c r="F13" s="2">
        <v>-30.952380000000002</v>
      </c>
      <c r="G13" s="2">
        <v>7.0333333333333332</v>
      </c>
      <c r="H13" s="2">
        <v>2.36842</v>
      </c>
      <c r="I13" s="8">
        <v>235.227</v>
      </c>
      <c r="J13">
        <v>4.2295887333333337E-2</v>
      </c>
      <c r="K13">
        <v>4.4931961333333333E-2</v>
      </c>
      <c r="L13">
        <f t="shared" si="0"/>
        <v>4.2295887333333333</v>
      </c>
      <c r="M13">
        <f t="shared" si="1"/>
        <v>4.493196133333333</v>
      </c>
      <c r="N13">
        <v>4.0233333333333334</v>
      </c>
      <c r="O13">
        <f t="shared" si="2"/>
        <v>3.6666666666666625E-2</v>
      </c>
      <c r="P13" s="2">
        <f>H13-H9</f>
        <v>3.26932</v>
      </c>
      <c r="Q13" s="7">
        <f>IF(MONTH(A13) = 1, 1, 0)</f>
        <v>0</v>
      </c>
      <c r="R13">
        <f>IF(MONTH(A13) = 4, 1, 0)</f>
        <v>0</v>
      </c>
      <c r="S13">
        <f>IF(MONTH(A13) = 7, 1, 0)</f>
        <v>0</v>
      </c>
      <c r="T13">
        <f>IF(MONTH(A13) = 10, 1, 0)</f>
        <v>1</v>
      </c>
      <c r="U13" s="2">
        <v>2.9625300000000001</v>
      </c>
    </row>
    <row r="14" spans="1:21" x14ac:dyDescent="0.15">
      <c r="A14" s="11">
        <v>31413</v>
      </c>
      <c r="B14" s="2">
        <v>1.08108</v>
      </c>
      <c r="C14" s="2">
        <v>0.28256999999999999</v>
      </c>
      <c r="D14" s="2">
        <v>1.35093</v>
      </c>
      <c r="E14" s="2">
        <v>1.5914699999999999</v>
      </c>
      <c r="F14" s="2">
        <v>51.724139999999998</v>
      </c>
      <c r="G14" s="2">
        <v>7.0333333333333332</v>
      </c>
      <c r="H14" s="2">
        <v>-3.59897</v>
      </c>
      <c r="I14" s="8">
        <v>217.28299999999999</v>
      </c>
      <c r="J14">
        <v>3.8091589000000002E-2</v>
      </c>
      <c r="K14">
        <v>3.997907366666667E-2</v>
      </c>
      <c r="L14">
        <f t="shared" si="0"/>
        <v>3.8091589000000003</v>
      </c>
      <c r="M14">
        <f t="shared" si="1"/>
        <v>3.9979073666666669</v>
      </c>
      <c r="N14">
        <v>3.9333333333333336</v>
      </c>
      <c r="O14">
        <f t="shared" si="2"/>
        <v>-6.666666666666643E-2</v>
      </c>
      <c r="P14" s="2">
        <f>H14-H10</f>
        <v>-1.6509199999999999</v>
      </c>
      <c r="Q14" s="7">
        <f>IF(MONTH(A14) = 1, 1, 0)</f>
        <v>1</v>
      </c>
      <c r="R14">
        <f>IF(MONTH(A14) = 4, 1, 0)</f>
        <v>0</v>
      </c>
      <c r="S14">
        <f>IF(MONTH(A14) = 7, 1, 0)</f>
        <v>0</v>
      </c>
      <c r="T14">
        <f>IF(MONTH(A14) = 10, 1, 0)</f>
        <v>0</v>
      </c>
      <c r="U14" s="2">
        <v>5.8979900000000001</v>
      </c>
    </row>
    <row r="15" spans="1:21" x14ac:dyDescent="0.15">
      <c r="A15" s="11">
        <v>31503</v>
      </c>
      <c r="B15" s="2">
        <v>0.83184999999999998</v>
      </c>
      <c r="C15" s="2">
        <v>-0.59487000000000001</v>
      </c>
      <c r="D15" s="2">
        <v>0.37197999999999998</v>
      </c>
      <c r="E15" s="2">
        <v>0.98573</v>
      </c>
      <c r="F15" s="2">
        <v>-36.363639999999997</v>
      </c>
      <c r="G15" s="2">
        <v>7.166666666666667</v>
      </c>
      <c r="H15" s="2">
        <v>0.13333</v>
      </c>
      <c r="I15" s="8">
        <v>185.923</v>
      </c>
      <c r="J15">
        <v>3.1109216333333332E-2</v>
      </c>
      <c r="K15">
        <v>3.6962264666666668E-2</v>
      </c>
      <c r="L15">
        <f t="shared" si="0"/>
        <v>3.1109216333333332</v>
      </c>
      <c r="M15">
        <f t="shared" si="1"/>
        <v>3.6962264666666669</v>
      </c>
      <c r="N15">
        <v>3.9466666666666668</v>
      </c>
      <c r="O15">
        <f t="shared" si="2"/>
        <v>-7.3333333333332806E-2</v>
      </c>
      <c r="P15" s="2">
        <f>H15-H11</f>
        <v>-0.26401999999999998</v>
      </c>
      <c r="Q15" s="7">
        <f>IF(MONTH(A15) = 1, 1, 0)</f>
        <v>0</v>
      </c>
      <c r="R15">
        <f>IF(MONTH(A15) = 4, 1, 0)</f>
        <v>1</v>
      </c>
      <c r="S15">
        <f>IF(MONTH(A15) = 7, 1, 0)</f>
        <v>0</v>
      </c>
      <c r="T15">
        <f>IF(MONTH(A15) = 10, 1, 0)</f>
        <v>0</v>
      </c>
      <c r="U15" s="2">
        <v>-0.98219000000000001</v>
      </c>
    </row>
    <row r="16" spans="1:21" x14ac:dyDescent="0.15">
      <c r="A16" s="11">
        <v>31594</v>
      </c>
      <c r="B16" s="2">
        <v>0.94284000000000001</v>
      </c>
      <c r="C16" s="2">
        <v>-0.25197000000000003</v>
      </c>
      <c r="D16" s="2">
        <v>1.6677</v>
      </c>
      <c r="E16" s="2">
        <v>2.30525</v>
      </c>
      <c r="F16" s="2">
        <v>0</v>
      </c>
      <c r="G16" s="2">
        <v>6.9666666666666668</v>
      </c>
      <c r="H16" s="2">
        <v>2.3967999999999998</v>
      </c>
      <c r="I16" s="8">
        <v>147.90899999999999</v>
      </c>
      <c r="J16">
        <v>3.4550240000000003E-2</v>
      </c>
      <c r="K16">
        <v>3.5798593666666663E-2</v>
      </c>
      <c r="L16">
        <f t="shared" si="0"/>
        <v>3.4550240000000003</v>
      </c>
      <c r="M16">
        <f t="shared" si="1"/>
        <v>3.5798593666666663</v>
      </c>
      <c r="N16">
        <v>3.936666666666667</v>
      </c>
      <c r="O16">
        <f t="shared" si="2"/>
        <v>-0.10666666666666602</v>
      </c>
      <c r="P16" s="2">
        <f>H16-H12</f>
        <v>2.1329499999999997</v>
      </c>
      <c r="Q16" s="7">
        <f>IF(MONTH(A16) = 1, 1, 0)</f>
        <v>0</v>
      </c>
      <c r="R16">
        <f>IF(MONTH(A16) = 4, 1, 0)</f>
        <v>0</v>
      </c>
      <c r="S16">
        <f>IF(MONTH(A16) = 7, 1, 0)</f>
        <v>1</v>
      </c>
      <c r="T16">
        <f>IF(MONTH(A16) = 10, 1, 0)</f>
        <v>0</v>
      </c>
      <c r="U16" s="2">
        <v>-2.4121000000000001</v>
      </c>
    </row>
    <row r="17" spans="1:21" x14ac:dyDescent="0.15">
      <c r="A17" s="11">
        <v>31686</v>
      </c>
      <c r="B17" s="2">
        <v>0.96321999999999997</v>
      </c>
      <c r="C17" s="2">
        <v>-2.39975</v>
      </c>
      <c r="D17" s="2">
        <v>0.75941999999999998</v>
      </c>
      <c r="E17" s="2">
        <v>1.22035</v>
      </c>
      <c r="F17" s="2">
        <v>17.857140000000001</v>
      </c>
      <c r="G17" s="2">
        <v>6.833333333333333</v>
      </c>
      <c r="H17" s="2">
        <v>1.0403100000000001</v>
      </c>
      <c r="I17" s="8">
        <v>142.75700000000001</v>
      </c>
      <c r="J17">
        <v>3.4431558000000001E-2</v>
      </c>
      <c r="K17">
        <v>3.5567019666666665E-2</v>
      </c>
      <c r="L17">
        <f t="shared" si="0"/>
        <v>3.4431558</v>
      </c>
      <c r="M17">
        <f t="shared" si="1"/>
        <v>3.5567019666666666</v>
      </c>
      <c r="N17">
        <v>3.9933333333333336</v>
      </c>
      <c r="O17">
        <f t="shared" si="2"/>
        <v>-2.9999999999999805E-2</v>
      </c>
      <c r="P17" s="2">
        <f>H17-H13</f>
        <v>-1.3281099999999999</v>
      </c>
      <c r="Q17" s="7">
        <f>IF(MONTH(A17) = 1, 1, 0)</f>
        <v>0</v>
      </c>
      <c r="R17">
        <f>IF(MONTH(A17) = 4, 1, 0)</f>
        <v>0</v>
      </c>
      <c r="S17">
        <f>IF(MONTH(A17) = 7, 1, 0)</f>
        <v>0</v>
      </c>
      <c r="T17">
        <f>IF(MONTH(A17) = 10, 1, 0)</f>
        <v>1</v>
      </c>
      <c r="U17" s="2">
        <v>0.56444000000000005</v>
      </c>
    </row>
    <row r="18" spans="1:21" x14ac:dyDescent="0.15">
      <c r="A18" s="11">
        <v>31778</v>
      </c>
      <c r="B18" s="2">
        <v>0.80947999999999998</v>
      </c>
      <c r="C18" s="2">
        <v>0.54998000000000002</v>
      </c>
      <c r="D18" s="2">
        <v>1.62798</v>
      </c>
      <c r="E18" s="2">
        <v>1.03969</v>
      </c>
      <c r="F18" s="2">
        <v>-21.212119999999999</v>
      </c>
      <c r="G18" s="2">
        <v>6.6</v>
      </c>
      <c r="H18" s="2">
        <v>3.9897</v>
      </c>
      <c r="I18" s="8">
        <v>138.09399999999999</v>
      </c>
      <c r="J18">
        <v>3.3804077333333328E-2</v>
      </c>
      <c r="K18">
        <v>3.4771669666666664E-2</v>
      </c>
      <c r="L18">
        <f t="shared" si="0"/>
        <v>3.3804077333333327</v>
      </c>
      <c r="M18">
        <f t="shared" si="1"/>
        <v>3.4771669666666662</v>
      </c>
      <c r="N18">
        <v>4.05</v>
      </c>
      <c r="O18">
        <f t="shared" si="2"/>
        <v>0.11666666666666625</v>
      </c>
      <c r="P18" s="2">
        <f>H18-H14</f>
        <v>7.5886700000000005</v>
      </c>
      <c r="Q18" s="7">
        <f>IF(MONTH(A18) = 1, 1, 0)</f>
        <v>1</v>
      </c>
      <c r="R18">
        <f>IF(MONTH(A18) = 4, 1, 0)</f>
        <v>0</v>
      </c>
      <c r="S18">
        <f>IF(MONTH(A18) = 7, 1, 0)</f>
        <v>0</v>
      </c>
      <c r="T18">
        <f>IF(MONTH(A18) = 10, 1, 0)</f>
        <v>0</v>
      </c>
      <c r="U18" s="2">
        <v>0.64215</v>
      </c>
    </row>
    <row r="19" spans="1:21" x14ac:dyDescent="0.15">
      <c r="A19" s="11">
        <v>31868</v>
      </c>
      <c r="B19" s="2">
        <v>1.2044699999999999</v>
      </c>
      <c r="C19" s="2">
        <v>0</v>
      </c>
      <c r="D19" s="2">
        <v>0.83060999999999996</v>
      </c>
      <c r="E19" s="2">
        <v>2.3406500000000001</v>
      </c>
      <c r="F19" s="2">
        <v>50</v>
      </c>
      <c r="G19" s="2">
        <v>6.2666666666666666</v>
      </c>
      <c r="H19" s="2">
        <v>3.4653499999999999</v>
      </c>
      <c r="I19" s="8">
        <v>182.58500000000001</v>
      </c>
      <c r="J19">
        <v>3.8432135000000006E-2</v>
      </c>
      <c r="K19">
        <v>3.8370295000000006E-2</v>
      </c>
      <c r="L19">
        <f t="shared" si="0"/>
        <v>3.8432135000000005</v>
      </c>
      <c r="M19">
        <f t="shared" si="1"/>
        <v>3.8370295000000008</v>
      </c>
      <c r="N19">
        <v>4.2600000000000007</v>
      </c>
      <c r="O19">
        <f t="shared" si="2"/>
        <v>0.31333333333333391</v>
      </c>
      <c r="P19" s="2">
        <f>H19-H15</f>
        <v>3.33202</v>
      </c>
      <c r="Q19" s="7">
        <f>IF(MONTH(A19) = 1, 1, 0)</f>
        <v>0</v>
      </c>
      <c r="R19">
        <f>IF(MONTH(A19) = 4, 1, 0)</f>
        <v>1</v>
      </c>
      <c r="S19">
        <f>IF(MONTH(A19) = 7, 1, 0)</f>
        <v>0</v>
      </c>
      <c r="T19">
        <f>IF(MONTH(A19) = 10, 1, 0)</f>
        <v>0</v>
      </c>
      <c r="U19" s="2">
        <v>-6.3904899999999998</v>
      </c>
    </row>
    <row r="20" spans="1:21" x14ac:dyDescent="0.15">
      <c r="A20" s="11">
        <v>31959</v>
      </c>
      <c r="B20" s="2">
        <v>0.93511</v>
      </c>
      <c r="C20" s="2">
        <v>0.90090000000000003</v>
      </c>
      <c r="D20" s="2">
        <v>0.50014999999999998</v>
      </c>
      <c r="E20" s="2">
        <v>2.0960700000000001</v>
      </c>
      <c r="F20" s="2">
        <v>-7.69231</v>
      </c>
      <c r="G20" s="2">
        <v>6</v>
      </c>
      <c r="H20" s="2">
        <v>0.83731999999999995</v>
      </c>
      <c r="I20" s="8">
        <v>200.06399999999999</v>
      </c>
      <c r="J20">
        <v>4.1366897999999992E-2</v>
      </c>
      <c r="K20">
        <v>4.0557199333333328E-2</v>
      </c>
      <c r="L20">
        <f t="shared" si="0"/>
        <v>4.1366897999999992</v>
      </c>
      <c r="M20">
        <f t="shared" si="1"/>
        <v>4.0557199333333331</v>
      </c>
      <c r="N20">
        <v>4.4066666666666663</v>
      </c>
      <c r="O20">
        <f t="shared" si="2"/>
        <v>0.46999999999999931</v>
      </c>
      <c r="P20" s="2">
        <f>H20-H16</f>
        <v>-1.5594799999999998</v>
      </c>
      <c r="Q20" s="7">
        <f>IF(MONTH(A20) = 1, 1, 0)</f>
        <v>0</v>
      </c>
      <c r="R20">
        <f>IF(MONTH(A20) = 4, 1, 0)</f>
        <v>0</v>
      </c>
      <c r="S20">
        <f>IF(MONTH(A20) = 7, 1, 0)</f>
        <v>1</v>
      </c>
      <c r="T20">
        <f>IF(MONTH(A20) = 10, 1, 0)</f>
        <v>0</v>
      </c>
      <c r="U20" s="2">
        <v>-0.42004999999999998</v>
      </c>
    </row>
    <row r="21" spans="1:21" x14ac:dyDescent="0.15">
      <c r="A21" s="11">
        <v>32051</v>
      </c>
      <c r="B21" s="2">
        <v>1.1510400000000001</v>
      </c>
      <c r="C21" s="2">
        <v>-0.82908000000000004</v>
      </c>
      <c r="D21" s="2">
        <v>0.46838000000000002</v>
      </c>
      <c r="E21" s="2">
        <v>1.0778399999999999</v>
      </c>
      <c r="F21" s="2">
        <v>13.88889</v>
      </c>
      <c r="G21" s="2">
        <v>5.833333333333333</v>
      </c>
      <c r="H21" s="2">
        <v>1.4234899999999999</v>
      </c>
      <c r="I21" s="8">
        <v>254.42400000000001</v>
      </c>
      <c r="J21">
        <v>4.1464479999999998E-2</v>
      </c>
      <c r="K21">
        <v>4.2285899333333328E-2</v>
      </c>
      <c r="L21">
        <f t="shared" si="0"/>
        <v>4.1464479999999995</v>
      </c>
      <c r="M21">
        <f t="shared" si="1"/>
        <v>4.2285899333333328</v>
      </c>
      <c r="N21">
        <v>4.46</v>
      </c>
      <c r="O21">
        <f t="shared" si="2"/>
        <v>0.46666666666666634</v>
      </c>
      <c r="P21" s="2">
        <f>H21-H17</f>
        <v>0.38317999999999985</v>
      </c>
      <c r="Q21" s="7">
        <f>IF(MONTH(A21) = 1, 1, 0)</f>
        <v>0</v>
      </c>
      <c r="R21">
        <f>IF(MONTH(A21) = 4, 1, 0)</f>
        <v>0</v>
      </c>
      <c r="S21">
        <f>IF(MONTH(A21) = 7, 1, 0)</f>
        <v>0</v>
      </c>
      <c r="T21">
        <f>IF(MONTH(A21) = 10, 1, 0)</f>
        <v>1</v>
      </c>
      <c r="U21" s="2">
        <v>3.5883600000000002</v>
      </c>
    </row>
    <row r="22" spans="1:21" x14ac:dyDescent="0.15">
      <c r="A22" s="11">
        <v>32143</v>
      </c>
      <c r="B22" s="2">
        <v>0.97141</v>
      </c>
      <c r="C22" s="2">
        <v>-0.19292999999999999</v>
      </c>
      <c r="D22" s="2">
        <v>1.1946399999999999</v>
      </c>
      <c r="E22" s="2">
        <v>2.5685500000000001</v>
      </c>
      <c r="F22" s="2">
        <v>-4.87805</v>
      </c>
      <c r="G22" s="2">
        <v>5.7</v>
      </c>
      <c r="H22" s="2">
        <v>1.1695899999999999</v>
      </c>
      <c r="I22" s="8">
        <v>249.245</v>
      </c>
      <c r="J22">
        <v>3.7101399E-2</v>
      </c>
      <c r="K22">
        <v>3.9595603333333333E-2</v>
      </c>
      <c r="L22">
        <f t="shared" si="0"/>
        <v>3.7101399000000002</v>
      </c>
      <c r="M22">
        <f t="shared" si="1"/>
        <v>3.9595603333333331</v>
      </c>
      <c r="N22">
        <v>4.3066666666666666</v>
      </c>
      <c r="O22">
        <f t="shared" si="2"/>
        <v>0.25666666666666682</v>
      </c>
      <c r="P22" s="2">
        <f>H22-H18</f>
        <v>-2.8201100000000001</v>
      </c>
      <c r="Q22" s="7">
        <f>IF(MONTH(A22) = 1, 1, 0)</f>
        <v>1</v>
      </c>
      <c r="R22">
        <f>IF(MONTH(A22) = 4, 1, 0)</f>
        <v>0</v>
      </c>
      <c r="S22">
        <f>IF(MONTH(A22) = 7, 1, 0)</f>
        <v>0</v>
      </c>
      <c r="T22">
        <f>IF(MONTH(A22) = 10, 1, 0)</f>
        <v>0</v>
      </c>
      <c r="U22" s="2">
        <v>-2.7206600000000001</v>
      </c>
    </row>
    <row r="23" spans="1:21" x14ac:dyDescent="0.15">
      <c r="A23" s="11">
        <v>32234</v>
      </c>
      <c r="B23" s="2">
        <v>1.20946</v>
      </c>
      <c r="C23" s="2">
        <v>0.3866</v>
      </c>
      <c r="D23" s="2">
        <v>1.1229499999999999</v>
      </c>
      <c r="E23" s="2">
        <v>1.8513599999999999</v>
      </c>
      <c r="F23" s="2">
        <v>25.641030000000001</v>
      </c>
      <c r="G23" s="2">
        <v>5.4666666666666668</v>
      </c>
      <c r="H23" s="2">
        <v>2.65896</v>
      </c>
      <c r="I23" s="8">
        <v>283.48599999999999</v>
      </c>
      <c r="J23">
        <v>4.0097212E-2</v>
      </c>
      <c r="K23">
        <v>4.0681033333333332E-2</v>
      </c>
      <c r="L23">
        <f t="shared" si="0"/>
        <v>4.0097212000000004</v>
      </c>
      <c r="M23">
        <f t="shared" si="1"/>
        <v>4.0681033333333332</v>
      </c>
      <c r="N23">
        <v>4.3833333333333337</v>
      </c>
      <c r="O23">
        <f t="shared" si="2"/>
        <v>0.12333333333333307</v>
      </c>
      <c r="P23" s="2">
        <f>H23-H19</f>
        <v>-0.80638999999999994</v>
      </c>
      <c r="Q23" s="7">
        <f>IF(MONTH(A23) = 1, 1, 0)</f>
        <v>0</v>
      </c>
      <c r="R23">
        <f>IF(MONTH(A23) = 4, 1, 0)</f>
        <v>1</v>
      </c>
      <c r="S23">
        <f>IF(MONTH(A23) = 7, 1, 0)</f>
        <v>0</v>
      </c>
      <c r="T23">
        <f>IF(MONTH(A23) = 10, 1, 0)</f>
        <v>0</v>
      </c>
      <c r="U23" s="2">
        <v>-4.2054200000000002</v>
      </c>
    </row>
    <row r="24" spans="1:21" x14ac:dyDescent="0.15">
      <c r="A24" s="11">
        <v>32325</v>
      </c>
      <c r="B24" s="2">
        <v>1.1135299999999999</v>
      </c>
      <c r="C24" s="2">
        <v>0.99487000000000003</v>
      </c>
      <c r="D24" s="2">
        <v>2.0501100000000001</v>
      </c>
      <c r="E24" s="2">
        <v>2.1326399999999999</v>
      </c>
      <c r="F24" s="2">
        <v>-4.0816299999999996</v>
      </c>
      <c r="G24" s="2">
        <v>5.4666666666666668</v>
      </c>
      <c r="H24" s="2">
        <v>-1.3513500000000001</v>
      </c>
      <c r="I24" s="8">
        <v>295.90600000000001</v>
      </c>
      <c r="J24">
        <v>4.3490423666666667E-2</v>
      </c>
      <c r="K24">
        <v>4.1117827666666669E-2</v>
      </c>
      <c r="L24">
        <f t="shared" si="0"/>
        <v>4.3490423666666667</v>
      </c>
      <c r="M24">
        <f t="shared" si="1"/>
        <v>4.1117827666666669</v>
      </c>
      <c r="N24">
        <v>4.34</v>
      </c>
      <c r="O24">
        <f t="shared" si="2"/>
        <v>-6.666666666666643E-2</v>
      </c>
      <c r="P24" s="2">
        <f>H24-H20</f>
        <v>-2.1886700000000001</v>
      </c>
      <c r="Q24" s="7">
        <f>IF(MONTH(A24) = 1, 1, 0)</f>
        <v>0</v>
      </c>
      <c r="R24">
        <f>IF(MONTH(A24) = 4, 1, 0)</f>
        <v>0</v>
      </c>
      <c r="S24">
        <f>IF(MONTH(A24) = 7, 1, 0)</f>
        <v>1</v>
      </c>
      <c r="T24">
        <f>IF(MONTH(A24) = 10, 1, 0)</f>
        <v>0</v>
      </c>
      <c r="U24" s="2">
        <v>-1.65062</v>
      </c>
    </row>
    <row r="25" spans="1:21" x14ac:dyDescent="0.15">
      <c r="A25" s="11">
        <v>32417</v>
      </c>
      <c r="B25" s="2">
        <v>1.2087000000000001</v>
      </c>
      <c r="C25" s="2">
        <v>1.3981600000000001</v>
      </c>
      <c r="D25" s="2">
        <v>0.78125</v>
      </c>
      <c r="E25" s="2">
        <v>2.1604800000000002</v>
      </c>
      <c r="F25" s="2">
        <v>-4.2553200000000002</v>
      </c>
      <c r="G25" s="2">
        <v>5.333333333333333</v>
      </c>
      <c r="H25" s="2">
        <v>1.9406399999999999</v>
      </c>
      <c r="I25" s="8">
        <v>310.05599999999998</v>
      </c>
      <c r="J25">
        <v>4.3612560333333328E-2</v>
      </c>
      <c r="K25">
        <v>4.0578042666666668E-2</v>
      </c>
      <c r="L25">
        <f t="shared" si="0"/>
        <v>4.3612560333333326</v>
      </c>
      <c r="M25">
        <f t="shared" si="1"/>
        <v>4.0578042666666665</v>
      </c>
      <c r="N25">
        <v>4.37</v>
      </c>
      <c r="O25">
        <f t="shared" si="2"/>
        <v>-8.9999999999999858E-2</v>
      </c>
      <c r="P25" s="2">
        <f>H25-H21</f>
        <v>0.51715</v>
      </c>
      <c r="Q25" s="7">
        <f>IF(MONTH(A25) = 1, 1, 0)</f>
        <v>0</v>
      </c>
      <c r="R25">
        <f>IF(MONTH(A25) = 4, 1, 0)</f>
        <v>0</v>
      </c>
      <c r="S25">
        <f>IF(MONTH(A25) = 7, 1, 0)</f>
        <v>0</v>
      </c>
      <c r="T25">
        <f>IF(MONTH(A25) = 10, 1, 0)</f>
        <v>1</v>
      </c>
      <c r="U25" s="2">
        <v>1.35467</v>
      </c>
    </row>
    <row r="26" spans="1:21" x14ac:dyDescent="0.15">
      <c r="A26" s="11">
        <v>32509</v>
      </c>
      <c r="B26" s="2">
        <v>1.0615699999999999</v>
      </c>
      <c r="C26" s="2">
        <v>9.4009999999999996E-2</v>
      </c>
      <c r="D26" s="2">
        <v>2.0487299999999999</v>
      </c>
      <c r="E26" s="2">
        <v>1.61982</v>
      </c>
      <c r="F26" s="2">
        <v>-2.2222200000000001</v>
      </c>
      <c r="G26" s="2">
        <v>5.2</v>
      </c>
      <c r="H26" s="2">
        <v>1.9036999999999999</v>
      </c>
      <c r="I26" s="8">
        <v>331.58300000000003</v>
      </c>
      <c r="J26">
        <v>4.4704927000000005E-2</v>
      </c>
      <c r="K26">
        <v>4.2691099333333336E-2</v>
      </c>
      <c r="L26">
        <f t="shared" si="0"/>
        <v>4.4704927000000003</v>
      </c>
      <c r="M26">
        <f t="shared" si="1"/>
        <v>4.2691099333333336</v>
      </c>
      <c r="N26">
        <v>4.1933333333333342</v>
      </c>
      <c r="O26">
        <f t="shared" si="2"/>
        <v>-0.1133333333333324</v>
      </c>
      <c r="P26" s="2">
        <f>H26-H22</f>
        <v>0.73411000000000004</v>
      </c>
      <c r="Q26" s="7">
        <f>IF(MONTH(A26) = 1, 1, 0)</f>
        <v>1</v>
      </c>
      <c r="R26">
        <f>IF(MONTH(A26) = 4, 1, 0)</f>
        <v>0</v>
      </c>
      <c r="S26">
        <f>IF(MONTH(A26) = 7, 1, 0)</f>
        <v>0</v>
      </c>
      <c r="T26">
        <f>IF(MONTH(A26) = 10, 1, 0)</f>
        <v>0</v>
      </c>
      <c r="U26" s="2">
        <v>5.3008300000000004</v>
      </c>
    </row>
    <row r="27" spans="1:21" x14ac:dyDescent="0.15">
      <c r="A27" s="11">
        <v>32599</v>
      </c>
      <c r="B27" s="2">
        <v>1.0766800000000001</v>
      </c>
      <c r="C27" s="2">
        <v>0.59487000000000001</v>
      </c>
      <c r="D27" s="2">
        <v>1.49213</v>
      </c>
      <c r="E27" s="2">
        <v>1.8232200000000001</v>
      </c>
      <c r="F27" s="2">
        <v>-15.909090000000001</v>
      </c>
      <c r="G27" s="2">
        <v>5.2333333333333334</v>
      </c>
      <c r="H27" s="2">
        <v>1.1355299999999999</v>
      </c>
      <c r="I27" s="8">
        <v>313.45499999999998</v>
      </c>
      <c r="J27">
        <v>4.6465208333333341E-2</v>
      </c>
      <c r="K27">
        <v>4.1085879333333332E-2</v>
      </c>
      <c r="L27">
        <f t="shared" si="0"/>
        <v>4.6465208333333337</v>
      </c>
      <c r="M27">
        <f t="shared" si="1"/>
        <v>4.1085879333333333</v>
      </c>
      <c r="N27">
        <v>4.1433333333333335</v>
      </c>
      <c r="O27">
        <f t="shared" si="2"/>
        <v>-0.24000000000000021</v>
      </c>
      <c r="P27" s="2">
        <f>H27-H23</f>
        <v>-1.5234300000000001</v>
      </c>
      <c r="Q27" s="7">
        <f>IF(MONTH(A27) = 1, 1, 0)</f>
        <v>0</v>
      </c>
      <c r="R27">
        <f>IF(MONTH(A27) = 4, 1, 0)</f>
        <v>1</v>
      </c>
      <c r="S27">
        <f>IF(MONTH(A27) = 7, 1, 0)</f>
        <v>0</v>
      </c>
      <c r="T27">
        <f>IF(MONTH(A27) = 10, 1, 0)</f>
        <v>0</v>
      </c>
      <c r="U27" s="2">
        <v>1.00848</v>
      </c>
    </row>
    <row r="28" spans="1:21" x14ac:dyDescent="0.15">
      <c r="A28" s="11">
        <v>32690</v>
      </c>
      <c r="B28" s="2">
        <v>0.96128999999999998</v>
      </c>
      <c r="C28" s="2">
        <v>0.90258000000000005</v>
      </c>
      <c r="D28" s="2">
        <v>0.88212000000000002</v>
      </c>
      <c r="E28" s="2">
        <v>1.5645199999999999</v>
      </c>
      <c r="F28" s="2">
        <v>-18.91892</v>
      </c>
      <c r="G28" s="2">
        <v>5.2333333333333334</v>
      </c>
      <c r="H28" s="2">
        <v>-1.8833800000000001</v>
      </c>
      <c r="I28" s="8">
        <v>306.267</v>
      </c>
      <c r="J28">
        <v>4.1584194666666664E-2</v>
      </c>
      <c r="K28">
        <v>3.7059770666666665E-2</v>
      </c>
      <c r="L28">
        <f t="shared" si="0"/>
        <v>4.1584194666666665</v>
      </c>
      <c r="M28">
        <f t="shared" si="1"/>
        <v>3.7059770666666667</v>
      </c>
      <c r="N28">
        <v>3.9966666666666666</v>
      </c>
      <c r="O28">
        <f t="shared" si="2"/>
        <v>-0.34333333333333327</v>
      </c>
      <c r="P28" s="2">
        <f>H28-H24</f>
        <v>-0.53203</v>
      </c>
      <c r="Q28" s="7">
        <f>IF(MONTH(A28) = 1, 1, 0)</f>
        <v>0</v>
      </c>
      <c r="R28">
        <f>IF(MONTH(A28) = 4, 1, 0)</f>
        <v>0</v>
      </c>
      <c r="S28">
        <f>IF(MONTH(A28) = 7, 1, 0)</f>
        <v>1</v>
      </c>
      <c r="T28">
        <f>IF(MONTH(A28) = 10, 1, 0)</f>
        <v>0</v>
      </c>
      <c r="U28" s="2">
        <v>0.17441999999999999</v>
      </c>
    </row>
    <row r="29" spans="1:21" x14ac:dyDescent="0.15">
      <c r="A29" s="11">
        <v>32782</v>
      </c>
      <c r="B29" s="2">
        <v>1.20947</v>
      </c>
      <c r="C29" s="2">
        <v>0.49352000000000001</v>
      </c>
      <c r="D29" s="2">
        <v>0.90090000000000003</v>
      </c>
      <c r="E29" s="2">
        <v>1.2273499999999999</v>
      </c>
      <c r="F29" s="2">
        <v>23.33333</v>
      </c>
      <c r="G29" s="2">
        <v>5.3666666666666671</v>
      </c>
      <c r="H29" s="2">
        <v>0.99668000000000001</v>
      </c>
      <c r="I29" s="8">
        <v>228.23500000000001</v>
      </c>
      <c r="J29">
        <v>3.961046666666667E-2</v>
      </c>
      <c r="K29">
        <v>3.7257347666666663E-2</v>
      </c>
      <c r="L29">
        <f t="shared" si="0"/>
        <v>3.9610466666666668</v>
      </c>
      <c r="M29">
        <f t="shared" si="1"/>
        <v>3.7257347666666663</v>
      </c>
      <c r="N29">
        <v>4</v>
      </c>
      <c r="O29">
        <f t="shared" si="2"/>
        <v>-0.37000000000000011</v>
      </c>
      <c r="P29" s="2">
        <f>H29-H25</f>
        <v>-0.94395999999999991</v>
      </c>
      <c r="Q29" s="7">
        <f>IF(MONTH(A29) = 1, 1, 0)</f>
        <v>0</v>
      </c>
      <c r="R29">
        <f>IF(MONTH(A29) = 4, 1, 0)</f>
        <v>0</v>
      </c>
      <c r="S29">
        <f>IF(MONTH(A29) = 7, 1, 0)</f>
        <v>0</v>
      </c>
      <c r="T29">
        <f>IF(MONTH(A29) = 10, 1, 0)</f>
        <v>1</v>
      </c>
      <c r="U29" s="2">
        <v>4.2199999999999998E-3</v>
      </c>
    </row>
    <row r="30" spans="1:21" x14ac:dyDescent="0.15">
      <c r="A30" s="11">
        <v>32874</v>
      </c>
      <c r="B30" s="2">
        <v>1.27129</v>
      </c>
      <c r="C30" s="2">
        <v>0.61387000000000003</v>
      </c>
      <c r="D30" s="2">
        <v>3.2563</v>
      </c>
      <c r="E30" s="2">
        <v>2.3054299999999999</v>
      </c>
      <c r="F30" s="2">
        <v>27.02703</v>
      </c>
      <c r="G30" s="2">
        <v>5.3</v>
      </c>
      <c r="H30" s="2">
        <v>1.4619899999999999</v>
      </c>
      <c r="I30" s="8">
        <v>258.42</v>
      </c>
      <c r="J30">
        <v>4.1920147333333331E-2</v>
      </c>
      <c r="K30">
        <v>3.9067440000000002E-2</v>
      </c>
      <c r="L30">
        <f t="shared" si="0"/>
        <v>4.1920147333333331</v>
      </c>
      <c r="M30">
        <f t="shared" si="1"/>
        <v>3.9067440000000002</v>
      </c>
      <c r="N30">
        <v>3.8200000000000003</v>
      </c>
      <c r="O30">
        <f t="shared" si="2"/>
        <v>-0.37333333333333396</v>
      </c>
      <c r="P30" s="2">
        <f>H30-H26</f>
        <v>-0.44171000000000005</v>
      </c>
      <c r="Q30" s="7">
        <f>IF(MONTH(A30) = 1, 1, 0)</f>
        <v>1</v>
      </c>
      <c r="R30">
        <f>IF(MONTH(A30) = 4, 1, 0)</f>
        <v>0</v>
      </c>
      <c r="S30">
        <f>IF(MONTH(A30) = 7, 1, 0)</f>
        <v>0</v>
      </c>
      <c r="T30">
        <f>IF(MONTH(A30) = 10, 1, 0)</f>
        <v>0</v>
      </c>
      <c r="U30" s="2">
        <v>4.9169099999999997</v>
      </c>
    </row>
    <row r="31" spans="1:21" x14ac:dyDescent="0.15">
      <c r="A31" s="11">
        <v>32964</v>
      </c>
      <c r="B31" s="2">
        <v>1.30555</v>
      </c>
      <c r="C31" s="2">
        <v>-0.15253</v>
      </c>
      <c r="D31" s="2">
        <v>0.35604999999999998</v>
      </c>
      <c r="E31" s="2">
        <v>1.2172499999999999</v>
      </c>
      <c r="F31" s="2">
        <v>-4.2553200000000002</v>
      </c>
      <c r="G31" s="2">
        <v>5.333333333333333</v>
      </c>
      <c r="H31" s="2">
        <v>-1.44092</v>
      </c>
      <c r="I31" s="8">
        <v>232.26400000000001</v>
      </c>
      <c r="J31">
        <v>4.1907233666666675E-2</v>
      </c>
      <c r="K31">
        <v>4.0161228333333333E-2</v>
      </c>
      <c r="L31">
        <f t="shared" si="0"/>
        <v>4.1907233666666679</v>
      </c>
      <c r="M31">
        <f t="shared" si="1"/>
        <v>4.0161228333333332</v>
      </c>
      <c r="N31">
        <v>3.6266666666666669</v>
      </c>
      <c r="O31">
        <f t="shared" si="2"/>
        <v>-0.51666666666666661</v>
      </c>
      <c r="P31" s="2">
        <f>H31-H27</f>
        <v>-2.5764499999999999</v>
      </c>
      <c r="Q31" s="7">
        <f>IF(MONTH(A31) = 1, 1, 0)</f>
        <v>0</v>
      </c>
      <c r="R31">
        <f>IF(MONTH(A31) = 4, 1, 0)</f>
        <v>1</v>
      </c>
      <c r="S31">
        <f>IF(MONTH(A31) = 7, 1, 0)</f>
        <v>0</v>
      </c>
      <c r="T31">
        <f>IF(MONTH(A31) = 10, 1, 0)</f>
        <v>0</v>
      </c>
      <c r="U31" s="2">
        <v>-2.2999299999999998</v>
      </c>
    </row>
    <row r="32" spans="1:21" x14ac:dyDescent="0.15">
      <c r="A32" s="11">
        <v>33055</v>
      </c>
      <c r="B32" s="2">
        <v>1.48699</v>
      </c>
      <c r="C32" s="2">
        <v>-9.1660000000000005E-2</v>
      </c>
      <c r="D32" s="2">
        <v>1.06437</v>
      </c>
      <c r="E32" s="2">
        <v>1.6721999999999999</v>
      </c>
      <c r="F32" s="2">
        <v>-8.88889</v>
      </c>
      <c r="G32" s="2">
        <v>5.7</v>
      </c>
      <c r="H32" s="2">
        <v>2.4488300000000001</v>
      </c>
      <c r="I32" s="8">
        <v>201.55500000000001</v>
      </c>
      <c r="J32">
        <v>4.310160833333334E-2</v>
      </c>
      <c r="K32">
        <v>3.9209755333333325E-2</v>
      </c>
      <c r="L32">
        <f t="shared" si="0"/>
        <v>4.3101608333333337</v>
      </c>
      <c r="M32">
        <f t="shared" si="1"/>
        <v>3.9209755333333325</v>
      </c>
      <c r="N32">
        <v>3.4266666666666672</v>
      </c>
      <c r="O32">
        <f t="shared" si="2"/>
        <v>-0.5699999999999994</v>
      </c>
      <c r="P32" s="2">
        <f>H32-H28</f>
        <v>4.3322099999999999</v>
      </c>
      <c r="Q32" s="7">
        <f>IF(MONTH(A32) = 1, 1, 0)</f>
        <v>0</v>
      </c>
      <c r="R32">
        <f>IF(MONTH(A32) = 4, 1, 0)</f>
        <v>0</v>
      </c>
      <c r="S32">
        <f>IF(MONTH(A32) = 7, 1, 0)</f>
        <v>1</v>
      </c>
      <c r="T32">
        <f>IF(MONTH(A32) = 10, 1, 0)</f>
        <v>0</v>
      </c>
      <c r="U32" s="2">
        <v>2.1092300000000002</v>
      </c>
    </row>
    <row r="33" spans="1:21" x14ac:dyDescent="0.15">
      <c r="A33" s="11">
        <v>33147</v>
      </c>
      <c r="B33" s="2">
        <v>1.14774</v>
      </c>
      <c r="C33" s="2">
        <v>0.88685000000000003</v>
      </c>
      <c r="D33" s="2">
        <v>0.75226000000000004</v>
      </c>
      <c r="E33" s="2">
        <v>0.55198999999999998</v>
      </c>
      <c r="F33" s="2">
        <v>-17.073170000000001</v>
      </c>
      <c r="G33" s="2">
        <v>6.1333333333333329</v>
      </c>
      <c r="H33" s="2">
        <v>5.7438500000000001</v>
      </c>
      <c r="I33" s="8">
        <v>153.399</v>
      </c>
      <c r="J33">
        <v>4.9504671333333333E-2</v>
      </c>
      <c r="K33">
        <v>3.9430409E-2</v>
      </c>
      <c r="L33">
        <f t="shared" si="0"/>
        <v>4.9504671333333334</v>
      </c>
      <c r="M33">
        <f t="shared" si="1"/>
        <v>3.9430408999999997</v>
      </c>
      <c r="N33">
        <v>2.9733333333333332</v>
      </c>
      <c r="O33">
        <f t="shared" si="2"/>
        <v>-1.0266666666666668</v>
      </c>
      <c r="P33" s="2">
        <f>H33-H29</f>
        <v>4.7471700000000006</v>
      </c>
      <c r="Q33" s="7">
        <f>IF(MONTH(A33) = 1, 1, 0)</f>
        <v>0</v>
      </c>
      <c r="R33">
        <f>IF(MONTH(A33) = 4, 1, 0)</f>
        <v>0</v>
      </c>
      <c r="S33">
        <f>IF(MONTH(A33) = 7, 1, 0)</f>
        <v>0</v>
      </c>
      <c r="T33">
        <f>IF(MONTH(A33) = 10, 1, 0)</f>
        <v>1</v>
      </c>
      <c r="U33" s="2">
        <v>2.3084699999999998</v>
      </c>
    </row>
    <row r="34" spans="1:21" x14ac:dyDescent="0.15">
      <c r="A34" s="11">
        <v>33239</v>
      </c>
      <c r="B34" s="2">
        <v>1.44858</v>
      </c>
      <c r="C34" s="2">
        <v>2.4249800000000001</v>
      </c>
      <c r="D34" s="2">
        <v>1.3190599999999999</v>
      </c>
      <c r="E34" s="2">
        <v>0.14563999999999999</v>
      </c>
      <c r="F34" s="2">
        <v>5.8823499999999997</v>
      </c>
      <c r="G34" s="2">
        <v>6.6</v>
      </c>
      <c r="H34" s="2">
        <v>-3.1713900000000002</v>
      </c>
      <c r="I34" s="8">
        <v>69.409000000000006</v>
      </c>
      <c r="J34">
        <v>3.8844827333333332E-2</v>
      </c>
      <c r="K34">
        <v>3.7995597333333332E-2</v>
      </c>
      <c r="L34">
        <f t="shared" si="0"/>
        <v>3.8844827333333329</v>
      </c>
      <c r="M34">
        <f t="shared" si="1"/>
        <v>3.7995597333333331</v>
      </c>
      <c r="N34">
        <v>2.62</v>
      </c>
      <c r="O34">
        <f t="shared" si="2"/>
        <v>-1.2000000000000002</v>
      </c>
      <c r="P34" s="2">
        <f>H34-H30</f>
        <v>-4.6333799999999998</v>
      </c>
      <c r="Q34" s="7">
        <f>IF(MONTH(A34) = 1, 1, 0)</f>
        <v>1</v>
      </c>
      <c r="R34">
        <f>IF(MONTH(A34) = 4, 1, 0)</f>
        <v>0</v>
      </c>
      <c r="S34">
        <f>IF(MONTH(A34) = 7, 1, 0)</f>
        <v>0</v>
      </c>
      <c r="T34">
        <f>IF(MONTH(A34) = 10, 1, 0)</f>
        <v>0</v>
      </c>
      <c r="U34" s="2">
        <v>-1.63548</v>
      </c>
    </row>
    <row r="35" spans="1:21" x14ac:dyDescent="0.15">
      <c r="A35" s="11">
        <v>33329</v>
      </c>
      <c r="B35" s="2">
        <v>0.90432999999999997</v>
      </c>
      <c r="C35" s="2">
        <v>-0.59189000000000003</v>
      </c>
      <c r="D35" s="2">
        <v>0.88429999999999997</v>
      </c>
      <c r="E35" s="2">
        <v>1.37771</v>
      </c>
      <c r="F35" s="2">
        <v>-13.88889</v>
      </c>
      <c r="G35" s="2">
        <v>6.833333333333333</v>
      </c>
      <c r="H35" s="2">
        <v>-1.8815299999999999</v>
      </c>
      <c r="I35" s="8">
        <v>82.828000000000003</v>
      </c>
      <c r="J35">
        <v>3.6586261666666668E-2</v>
      </c>
      <c r="K35">
        <v>3.8045613666666672E-2</v>
      </c>
      <c r="L35">
        <f t="shared" si="0"/>
        <v>3.6586261666666666</v>
      </c>
      <c r="M35">
        <f t="shared" si="1"/>
        <v>3.8045613666666673</v>
      </c>
      <c r="N35">
        <v>2.543333333333333</v>
      </c>
      <c r="O35">
        <f t="shared" si="2"/>
        <v>-1.0833333333333339</v>
      </c>
      <c r="P35" s="2">
        <f>H35-H31</f>
        <v>-0.44060999999999995</v>
      </c>
      <c r="Q35" s="7">
        <f>IF(MONTH(A35) = 1, 1, 0)</f>
        <v>0</v>
      </c>
      <c r="R35">
        <f>IF(MONTH(A35) = 4, 1, 0)</f>
        <v>1</v>
      </c>
      <c r="S35">
        <f>IF(MONTH(A35) = 7, 1, 0)</f>
        <v>0</v>
      </c>
      <c r="T35">
        <f>IF(MONTH(A35) = 10, 1, 0)</f>
        <v>0</v>
      </c>
      <c r="U35" s="2">
        <v>-5.90435</v>
      </c>
    </row>
    <row r="36" spans="1:21" x14ac:dyDescent="0.15">
      <c r="A36" s="11">
        <v>33420</v>
      </c>
      <c r="B36" s="2">
        <v>1.08491</v>
      </c>
      <c r="C36" s="2">
        <v>0.35725000000000001</v>
      </c>
      <c r="D36" s="2">
        <v>-0.53566999999999998</v>
      </c>
      <c r="E36" s="2">
        <v>1.1798900000000001</v>
      </c>
      <c r="F36" s="2">
        <v>16.12903</v>
      </c>
      <c r="G36" s="2">
        <v>6.8666666666666671</v>
      </c>
      <c r="H36" s="2">
        <v>-0.85226999999999997</v>
      </c>
      <c r="I36" s="8">
        <v>117.41800000000001</v>
      </c>
      <c r="J36">
        <v>3.7354418E-2</v>
      </c>
      <c r="K36">
        <v>3.8121097333333333E-2</v>
      </c>
      <c r="L36">
        <f t="shared" si="0"/>
        <v>3.7354418000000003</v>
      </c>
      <c r="M36">
        <f t="shared" si="1"/>
        <v>3.8121097333333331</v>
      </c>
      <c r="N36">
        <v>2.46</v>
      </c>
      <c r="O36">
        <f t="shared" si="2"/>
        <v>-0.96666666666666723</v>
      </c>
      <c r="P36" s="2">
        <f>H36-H32</f>
        <v>-3.3010999999999999</v>
      </c>
      <c r="Q36" s="7">
        <f>IF(MONTH(A36) = 1, 1, 0)</f>
        <v>0</v>
      </c>
      <c r="R36">
        <f>IF(MONTH(A36) = 4, 1, 0)</f>
        <v>0</v>
      </c>
      <c r="S36">
        <f>IF(MONTH(A36) = 7, 1, 0)</f>
        <v>1</v>
      </c>
      <c r="T36">
        <f>IF(MONTH(A36) = 10, 1, 0)</f>
        <v>0</v>
      </c>
      <c r="U36" s="2">
        <v>-4.9188400000000003</v>
      </c>
    </row>
    <row r="37" spans="1:21" x14ac:dyDescent="0.15">
      <c r="A37" s="11">
        <v>33512</v>
      </c>
      <c r="B37" s="2">
        <v>0.93327000000000004</v>
      </c>
      <c r="C37" s="2">
        <v>1.03827</v>
      </c>
      <c r="D37" s="2">
        <v>4.8959999999999997E-2</v>
      </c>
      <c r="E37" s="2">
        <v>0.67366999999999999</v>
      </c>
      <c r="F37" s="2">
        <v>-11.11111</v>
      </c>
      <c r="G37" s="2">
        <v>7.1</v>
      </c>
      <c r="H37" s="2">
        <v>1.32521</v>
      </c>
      <c r="I37" s="8">
        <v>172.32300000000001</v>
      </c>
      <c r="J37">
        <v>3.5455317333333326E-2</v>
      </c>
      <c r="K37">
        <v>3.5462250666666667E-2</v>
      </c>
      <c r="L37">
        <f t="shared" si="0"/>
        <v>3.5455317333333327</v>
      </c>
      <c r="M37">
        <f t="shared" si="1"/>
        <v>3.5462250666666666</v>
      </c>
      <c r="N37">
        <v>2.3766666666666669</v>
      </c>
      <c r="O37">
        <f t="shared" si="2"/>
        <v>-0.59666666666666623</v>
      </c>
      <c r="P37" s="2">
        <f>H37-H33</f>
        <v>-4.4186399999999999</v>
      </c>
      <c r="Q37" s="7">
        <f>IF(MONTH(A37) = 1, 1, 0)</f>
        <v>0</v>
      </c>
      <c r="R37">
        <f>IF(MONTH(A37) = 4, 1, 0)</f>
        <v>0</v>
      </c>
      <c r="S37">
        <f>IF(MONTH(A37) = 7, 1, 0)</f>
        <v>0</v>
      </c>
      <c r="T37">
        <f>IF(MONTH(A37) = 10, 1, 0)</f>
        <v>1</v>
      </c>
      <c r="U37" s="2">
        <v>-0.88607999999999998</v>
      </c>
    </row>
    <row r="38" spans="1:21" x14ac:dyDescent="0.15">
      <c r="A38" s="11">
        <v>33604</v>
      </c>
      <c r="B38" s="2">
        <v>0.87841000000000002</v>
      </c>
      <c r="C38" s="2">
        <v>-5.8720000000000001E-2</v>
      </c>
      <c r="D38" s="2">
        <v>1.00318</v>
      </c>
      <c r="E38" s="2">
        <v>2.50915</v>
      </c>
      <c r="F38" s="2">
        <v>-3.125</v>
      </c>
      <c r="G38" s="2">
        <v>7.3666666666666671</v>
      </c>
      <c r="H38" s="2">
        <v>-0.35348000000000002</v>
      </c>
      <c r="I38" s="8">
        <v>235.768</v>
      </c>
      <c r="J38">
        <v>3.4001520333333334E-2</v>
      </c>
      <c r="K38">
        <v>3.5179933333333337E-2</v>
      </c>
      <c r="L38">
        <f t="shared" si="0"/>
        <v>3.4001520333333333</v>
      </c>
      <c r="M38">
        <f t="shared" si="1"/>
        <v>3.5179933333333335</v>
      </c>
      <c r="N38">
        <v>2.3733333333333335</v>
      </c>
      <c r="O38">
        <f t="shared" si="2"/>
        <v>-0.24666666666666659</v>
      </c>
      <c r="P38" s="2">
        <f>H38-H34</f>
        <v>2.8179100000000004</v>
      </c>
      <c r="Q38" s="7">
        <f>IF(MONTH(A38) = 1, 1, 0)</f>
        <v>1</v>
      </c>
      <c r="R38">
        <f>IF(MONTH(A38) = 4, 1, 0)</f>
        <v>0</v>
      </c>
      <c r="S38">
        <f>IF(MONTH(A38) = 7, 1, 0)</f>
        <v>0</v>
      </c>
      <c r="T38">
        <f>IF(MONTH(A38) = 10, 1, 0)</f>
        <v>0</v>
      </c>
      <c r="U38" s="2">
        <v>0.49351</v>
      </c>
    </row>
    <row r="39" spans="1:21" x14ac:dyDescent="0.15">
      <c r="A39" s="11">
        <v>33695</v>
      </c>
      <c r="B39" s="2">
        <v>0.87075999999999998</v>
      </c>
      <c r="C39" s="2">
        <v>0.61692000000000002</v>
      </c>
      <c r="D39" s="2">
        <v>2.4219999999999998E-2</v>
      </c>
      <c r="E39" s="2">
        <v>1.3478399999999999</v>
      </c>
      <c r="F39" s="2">
        <v>-6.4516099999999996</v>
      </c>
      <c r="G39" s="2">
        <v>7.6</v>
      </c>
      <c r="H39" s="2">
        <v>0.17737</v>
      </c>
      <c r="I39" s="8">
        <v>245.75800000000001</v>
      </c>
      <c r="J39">
        <v>3.4443122999999999E-2</v>
      </c>
      <c r="K39">
        <v>3.6332183999999997E-2</v>
      </c>
      <c r="L39">
        <f t="shared" si="0"/>
        <v>3.4443123</v>
      </c>
      <c r="M39">
        <f t="shared" si="1"/>
        <v>3.6332183999999996</v>
      </c>
      <c r="N39">
        <v>2.42</v>
      </c>
      <c r="O39">
        <f t="shared" si="2"/>
        <v>-0.12333333333333307</v>
      </c>
      <c r="P39" s="2">
        <f>H39-H35</f>
        <v>2.0589</v>
      </c>
      <c r="Q39" s="7">
        <f>IF(MONTH(A39) = 1, 1, 0)</f>
        <v>0</v>
      </c>
      <c r="R39">
        <f>IF(MONTH(A39) = 4, 1, 0)</f>
        <v>1</v>
      </c>
      <c r="S39">
        <f>IF(MONTH(A39) = 7, 1, 0)</f>
        <v>0</v>
      </c>
      <c r="T39">
        <f>IF(MONTH(A39) = 10, 1, 0)</f>
        <v>0</v>
      </c>
      <c r="U39" s="2">
        <v>-2.2072400000000001</v>
      </c>
    </row>
    <row r="40" spans="1:21" x14ac:dyDescent="0.15">
      <c r="A40" s="11">
        <v>33786</v>
      </c>
      <c r="B40" s="2">
        <v>0.77237999999999996</v>
      </c>
      <c r="C40" s="2">
        <v>0.67152999999999996</v>
      </c>
      <c r="D40" s="2">
        <v>0.19375000000000001</v>
      </c>
      <c r="E40" s="2">
        <v>1.7165299999999999</v>
      </c>
      <c r="F40" s="2">
        <v>-17.241379999999999</v>
      </c>
      <c r="G40" s="2">
        <v>7.6333333333333329</v>
      </c>
      <c r="H40" s="2">
        <v>1.59348</v>
      </c>
      <c r="I40" s="8">
        <v>256.37599999999998</v>
      </c>
      <c r="J40">
        <v>3.1331306666666663E-2</v>
      </c>
      <c r="K40">
        <v>3.3234853333333335E-2</v>
      </c>
      <c r="L40">
        <f t="shared" si="0"/>
        <v>3.1331306666666663</v>
      </c>
      <c r="M40">
        <f t="shared" si="1"/>
        <v>3.3234853333333336</v>
      </c>
      <c r="N40">
        <v>2.4133333333333331</v>
      </c>
      <c r="O40">
        <f t="shared" si="2"/>
        <v>-4.6666666666666856E-2</v>
      </c>
      <c r="P40" s="2">
        <f>H40-H36</f>
        <v>2.4457499999999999</v>
      </c>
      <c r="Q40" s="7">
        <f>IF(MONTH(A40) = 1, 1, 0)</f>
        <v>0</v>
      </c>
      <c r="R40">
        <f>IF(MONTH(A40) = 4, 1, 0)</f>
        <v>0</v>
      </c>
      <c r="S40">
        <f>IF(MONTH(A40) = 7, 1, 0)</f>
        <v>1</v>
      </c>
      <c r="T40">
        <f>IF(MONTH(A40) = 10, 1, 0)</f>
        <v>0</v>
      </c>
      <c r="U40" s="2">
        <v>-0.1158</v>
      </c>
    </row>
    <row r="41" spans="1:21" x14ac:dyDescent="0.15">
      <c r="A41" s="11">
        <v>33878</v>
      </c>
      <c r="B41" s="2">
        <v>0.90171000000000001</v>
      </c>
      <c r="C41" s="2">
        <v>1.39211</v>
      </c>
      <c r="D41" s="2">
        <v>0.38674999999999998</v>
      </c>
      <c r="E41" s="2">
        <v>1.89733</v>
      </c>
      <c r="F41" s="2">
        <v>25</v>
      </c>
      <c r="G41" s="2">
        <v>7.3666666666666671</v>
      </c>
      <c r="H41" s="2">
        <v>3.4860000000000002E-2</v>
      </c>
      <c r="I41" s="8">
        <v>324.98200000000003</v>
      </c>
      <c r="J41">
        <v>3.0162698666666668E-2</v>
      </c>
      <c r="K41">
        <v>3.2896638999999998E-2</v>
      </c>
      <c r="L41">
        <f t="shared" si="0"/>
        <v>3.0162698666666667</v>
      </c>
      <c r="M41">
        <f t="shared" si="1"/>
        <v>3.2896638999999999</v>
      </c>
      <c r="N41">
        <v>2.4866666666666664</v>
      </c>
      <c r="O41">
        <f t="shared" si="2"/>
        <v>0.10999999999999943</v>
      </c>
      <c r="P41" s="2">
        <f>H41-H37</f>
        <v>-1.2903500000000001</v>
      </c>
      <c r="Q41" s="7">
        <f>IF(MONTH(A41) = 1, 1, 0)</f>
        <v>0</v>
      </c>
      <c r="R41">
        <f>IF(MONTH(A41) = 4, 1, 0)</f>
        <v>0</v>
      </c>
      <c r="S41">
        <f>IF(MONTH(A41) = 7, 1, 0)</f>
        <v>0</v>
      </c>
      <c r="T41">
        <f>IF(MONTH(A41) = 10, 1, 0)</f>
        <v>1</v>
      </c>
      <c r="U41" s="2">
        <v>0.28582999999999997</v>
      </c>
    </row>
    <row r="42" spans="1:21" x14ac:dyDescent="0.15">
      <c r="A42" s="11">
        <v>33970</v>
      </c>
      <c r="B42" s="2">
        <v>0.87131000000000003</v>
      </c>
      <c r="C42" s="2">
        <v>-0.14302000000000001</v>
      </c>
      <c r="D42" s="2">
        <v>1.08355</v>
      </c>
      <c r="E42" s="2">
        <v>0.98207999999999995</v>
      </c>
      <c r="F42" s="2">
        <v>-6.6666699999999999</v>
      </c>
      <c r="G42" s="2">
        <v>7.1333333333333329</v>
      </c>
      <c r="H42" s="2">
        <v>-1.3240400000000001</v>
      </c>
      <c r="I42" s="8">
        <v>286.57299999999998</v>
      </c>
      <c r="J42">
        <v>2.9790463999999999E-2</v>
      </c>
      <c r="K42">
        <v>3.1762714000000004E-2</v>
      </c>
      <c r="L42">
        <f t="shared" si="0"/>
        <v>2.9790464000000001</v>
      </c>
      <c r="M42">
        <f t="shared" si="1"/>
        <v>3.1762714000000005</v>
      </c>
      <c r="N42">
        <v>2.5133333333333332</v>
      </c>
      <c r="O42">
        <f t="shared" si="2"/>
        <v>0.13999999999999968</v>
      </c>
      <c r="P42" s="2">
        <f>H42-H38</f>
        <v>-0.97056000000000009</v>
      </c>
      <c r="Q42" s="7">
        <f>IF(MONTH(A42) = 1, 1, 0)</f>
        <v>1</v>
      </c>
      <c r="R42">
        <f>IF(MONTH(A42) = 4, 1, 0)</f>
        <v>0</v>
      </c>
      <c r="S42">
        <f>IF(MONTH(A42) = 7, 1, 0)</f>
        <v>0</v>
      </c>
      <c r="T42">
        <f>IF(MONTH(A42) = 10, 1, 0)</f>
        <v>0</v>
      </c>
      <c r="U42" s="2">
        <v>-1.3533599999999999</v>
      </c>
    </row>
    <row r="43" spans="1:21" x14ac:dyDescent="0.15">
      <c r="A43" s="11">
        <v>34060</v>
      </c>
      <c r="B43" s="2">
        <v>0.84164000000000005</v>
      </c>
      <c r="C43" s="2">
        <v>1.74735</v>
      </c>
      <c r="D43" s="2">
        <v>0.54788000000000003</v>
      </c>
      <c r="E43" s="2">
        <v>1.5886899999999999</v>
      </c>
      <c r="F43" s="2">
        <v>10.71429</v>
      </c>
      <c r="G43" s="2">
        <v>7.0666666666666664</v>
      </c>
      <c r="H43" s="2">
        <v>0.88277000000000005</v>
      </c>
      <c r="I43" s="8">
        <v>264.02800000000002</v>
      </c>
      <c r="J43">
        <v>2.8471689333333331E-2</v>
      </c>
      <c r="K43">
        <v>3.0223519333333334E-2</v>
      </c>
      <c r="L43">
        <f t="shared" si="0"/>
        <v>2.8471689333333332</v>
      </c>
      <c r="M43">
        <f t="shared" si="1"/>
        <v>3.0223519333333333</v>
      </c>
      <c r="N43">
        <v>2.57</v>
      </c>
      <c r="O43">
        <f t="shared" si="2"/>
        <v>0.14999999999999991</v>
      </c>
      <c r="P43" s="2">
        <f>H43-H39</f>
        <v>0.70540000000000003</v>
      </c>
      <c r="Q43" s="7">
        <f>IF(MONTH(A43) = 1, 1, 0)</f>
        <v>0</v>
      </c>
      <c r="R43">
        <f>IF(MONTH(A43) = 4, 1, 0)</f>
        <v>1</v>
      </c>
      <c r="S43">
        <f>IF(MONTH(A43) = 7, 1, 0)</f>
        <v>0</v>
      </c>
      <c r="T43">
        <f>IF(MONTH(A43) = 10, 1, 0)</f>
        <v>0</v>
      </c>
      <c r="U43" s="2">
        <v>-2.4796499999999999</v>
      </c>
    </row>
    <row r="44" spans="1:21" x14ac:dyDescent="0.15">
      <c r="A44" s="11">
        <v>34151</v>
      </c>
      <c r="B44" s="2">
        <v>0.59301999999999999</v>
      </c>
      <c r="C44" s="2">
        <v>0.95721000000000001</v>
      </c>
      <c r="D44" s="2">
        <v>2.3689999999999999E-2</v>
      </c>
      <c r="E44" s="2">
        <v>1.5517700000000001</v>
      </c>
      <c r="F44" s="2">
        <v>-25.806450000000002</v>
      </c>
      <c r="G44" s="2">
        <v>6.8</v>
      </c>
      <c r="H44" s="2">
        <v>-0.80503999999999998</v>
      </c>
      <c r="I44" s="8">
        <v>256.70800000000003</v>
      </c>
      <c r="J44">
        <v>2.7791416666666666E-2</v>
      </c>
      <c r="K44">
        <v>2.9288990666666664E-2</v>
      </c>
      <c r="L44">
        <f t="shared" si="0"/>
        <v>2.7791416666666664</v>
      </c>
      <c r="M44">
        <f t="shared" si="1"/>
        <v>2.9288990666666663</v>
      </c>
      <c r="N44">
        <v>2.66</v>
      </c>
      <c r="O44">
        <f t="shared" si="2"/>
        <v>0.24666666666666703</v>
      </c>
      <c r="P44" s="2">
        <f>H44-H40</f>
        <v>-2.39852</v>
      </c>
      <c r="Q44" s="7">
        <f>IF(MONTH(A44) = 1, 1, 0)</f>
        <v>0</v>
      </c>
      <c r="R44">
        <f>IF(MONTH(A44) = 4, 1, 0)</f>
        <v>0</v>
      </c>
      <c r="S44">
        <f>IF(MONTH(A44) = 7, 1, 0)</f>
        <v>1</v>
      </c>
      <c r="T44">
        <f>IF(MONTH(A44) = 10, 1, 0)</f>
        <v>0</v>
      </c>
      <c r="U44" s="2">
        <v>-1.9134599999999999</v>
      </c>
    </row>
    <row r="45" spans="1:21" x14ac:dyDescent="0.15">
      <c r="A45" s="11">
        <v>34243</v>
      </c>
      <c r="B45" s="2">
        <v>0.78603000000000001</v>
      </c>
      <c r="C45" s="2">
        <v>0.11154</v>
      </c>
      <c r="D45" s="2">
        <v>0.94742000000000004</v>
      </c>
      <c r="E45" s="2">
        <v>1.4597199999999999</v>
      </c>
      <c r="F45" s="2">
        <v>-8.6956500000000005</v>
      </c>
      <c r="G45" s="2">
        <v>6.6333333333333329</v>
      </c>
      <c r="H45" s="2">
        <v>-0.21171000000000001</v>
      </c>
      <c r="I45" s="8">
        <v>255.74600000000001</v>
      </c>
      <c r="J45">
        <v>2.7457907666666666E-2</v>
      </c>
      <c r="K45">
        <v>2.9141195999999998E-2</v>
      </c>
      <c r="L45">
        <f t="shared" si="0"/>
        <v>2.7457907666666665</v>
      </c>
      <c r="M45">
        <f t="shared" si="1"/>
        <v>2.9141195999999998</v>
      </c>
      <c r="N45">
        <v>2.81</v>
      </c>
      <c r="O45">
        <f t="shared" si="2"/>
        <v>0.32333333333333369</v>
      </c>
      <c r="P45" s="2">
        <f>H45-H41</f>
        <v>-0.24657000000000001</v>
      </c>
      <c r="Q45" s="7">
        <f>IF(MONTH(A45) = 1, 1, 0)</f>
        <v>0</v>
      </c>
      <c r="R45">
        <f>IF(MONTH(A45) = 4, 1, 0)</f>
        <v>0</v>
      </c>
      <c r="S45">
        <f>IF(MONTH(A45) = 7, 1, 0)</f>
        <v>0</v>
      </c>
      <c r="T45">
        <f>IF(MONTH(A45) = 10, 1, 0)</f>
        <v>1</v>
      </c>
      <c r="U45" s="2">
        <v>2.36334</v>
      </c>
    </row>
    <row r="46" spans="1:21" x14ac:dyDescent="0.15">
      <c r="A46" s="11">
        <v>34335</v>
      </c>
      <c r="B46" s="2">
        <v>0.64990999999999999</v>
      </c>
      <c r="C46" s="2">
        <v>5.5710000000000003E-2</v>
      </c>
      <c r="D46" s="2">
        <v>0.84467000000000003</v>
      </c>
      <c r="E46" s="2">
        <v>1.5060800000000001</v>
      </c>
      <c r="F46" s="2">
        <v>-14.28571</v>
      </c>
      <c r="G46" s="2">
        <v>6.5666666666666664</v>
      </c>
      <c r="H46" s="2">
        <v>-0.49504999999999999</v>
      </c>
      <c r="I46" s="8">
        <v>286.44900000000001</v>
      </c>
      <c r="J46">
        <v>2.9771222999999999E-2</v>
      </c>
      <c r="K46">
        <v>3.0634859666666667E-2</v>
      </c>
      <c r="L46">
        <f t="shared" si="0"/>
        <v>2.9771223</v>
      </c>
      <c r="M46">
        <f t="shared" si="1"/>
        <v>3.0634859666666667</v>
      </c>
      <c r="N46">
        <v>3.0500000000000003</v>
      </c>
      <c r="O46">
        <f t="shared" si="2"/>
        <v>0.53666666666666707</v>
      </c>
      <c r="P46" s="2">
        <f>H46-H42</f>
        <v>0.82899000000000012</v>
      </c>
      <c r="Q46" s="7">
        <f>IF(MONTH(A46) = 1, 1, 0)</f>
        <v>1</v>
      </c>
      <c r="R46">
        <f>IF(MONTH(A46) = 4, 1, 0)</f>
        <v>0</v>
      </c>
      <c r="S46">
        <f>IF(MONTH(A46) = 7, 1, 0)</f>
        <v>0</v>
      </c>
      <c r="T46">
        <f>IF(MONTH(A46) = 10, 1, 0)</f>
        <v>0</v>
      </c>
      <c r="U46" s="2">
        <v>2.91601</v>
      </c>
    </row>
    <row r="47" spans="1:21" x14ac:dyDescent="0.15">
      <c r="A47" s="11">
        <v>34425</v>
      </c>
      <c r="B47" s="2">
        <v>0.68876000000000004</v>
      </c>
      <c r="C47" s="2">
        <v>-0.33407999999999999</v>
      </c>
      <c r="D47" s="2">
        <v>0.1396</v>
      </c>
      <c r="E47" s="2">
        <v>1.34019</v>
      </c>
      <c r="F47" s="2">
        <v>50</v>
      </c>
      <c r="G47" s="2">
        <v>6.2</v>
      </c>
      <c r="H47" s="2">
        <v>1.81237</v>
      </c>
      <c r="I47" s="8">
        <v>346.14499999999998</v>
      </c>
      <c r="J47">
        <v>3.2953144999999996E-2</v>
      </c>
      <c r="K47">
        <v>3.4732972666666667E-2</v>
      </c>
      <c r="L47">
        <f t="shared" si="0"/>
        <v>3.2953144999999995</v>
      </c>
      <c r="M47">
        <f t="shared" si="1"/>
        <v>3.4732972666666666</v>
      </c>
      <c r="N47">
        <v>3.1733333333333333</v>
      </c>
      <c r="O47">
        <f t="shared" si="2"/>
        <v>0.6033333333333335</v>
      </c>
      <c r="P47" s="2">
        <f>H47-H43</f>
        <v>0.92959999999999998</v>
      </c>
      <c r="Q47" s="7">
        <f>IF(MONTH(A47) = 1, 1, 0)</f>
        <v>0</v>
      </c>
      <c r="R47">
        <f>IF(MONTH(A47) = 4, 1, 0)</f>
        <v>1</v>
      </c>
      <c r="S47">
        <f>IF(MONTH(A47) = 7, 1, 0)</f>
        <v>0</v>
      </c>
      <c r="T47">
        <f>IF(MONTH(A47) = 10, 1, 0)</f>
        <v>0</v>
      </c>
      <c r="U47" s="2">
        <v>-1.9926200000000001</v>
      </c>
    </row>
    <row r="48" spans="1:21" x14ac:dyDescent="0.15">
      <c r="A48" s="11">
        <v>34516</v>
      </c>
      <c r="B48" s="2">
        <v>0.74817999999999996</v>
      </c>
      <c r="C48" s="2">
        <v>-0.13966000000000001</v>
      </c>
      <c r="D48" s="2">
        <v>0.83643000000000001</v>
      </c>
      <c r="E48" s="2">
        <v>1.48546</v>
      </c>
      <c r="F48" s="2">
        <v>-14.81481</v>
      </c>
      <c r="G48" s="2">
        <v>6</v>
      </c>
      <c r="H48" s="2">
        <v>1.9197200000000001</v>
      </c>
      <c r="I48" s="8">
        <v>345.56599999999997</v>
      </c>
      <c r="J48">
        <v>3.2748912333333331E-2</v>
      </c>
      <c r="K48">
        <v>3.5102900333333333E-2</v>
      </c>
      <c r="L48">
        <f t="shared" si="0"/>
        <v>3.2748912333333333</v>
      </c>
      <c r="M48">
        <f t="shared" si="1"/>
        <v>3.5102900333333333</v>
      </c>
      <c r="N48">
        <v>3.2433333333333336</v>
      </c>
      <c r="O48">
        <f t="shared" si="2"/>
        <v>0.58333333333333348</v>
      </c>
      <c r="P48" s="2">
        <f>H48-H44</f>
        <v>2.7247599999999998</v>
      </c>
      <c r="Q48" s="7">
        <f>IF(MONTH(A48) = 1, 1, 0)</f>
        <v>0</v>
      </c>
      <c r="R48">
        <f>IF(MONTH(A48) = 4, 1, 0)</f>
        <v>0</v>
      </c>
      <c r="S48">
        <f>IF(MONTH(A48) = 7, 1, 0)</f>
        <v>1</v>
      </c>
      <c r="T48">
        <f>IF(MONTH(A48) = 10, 1, 0)</f>
        <v>0</v>
      </c>
      <c r="U48" s="2">
        <v>-0.66564000000000001</v>
      </c>
    </row>
    <row r="49" spans="1:21" x14ac:dyDescent="0.15">
      <c r="A49" s="11">
        <v>34608</v>
      </c>
      <c r="B49" s="2">
        <v>0.63653999999999999</v>
      </c>
      <c r="C49" s="2">
        <v>-0.39161000000000001</v>
      </c>
      <c r="D49" s="2">
        <v>0.71428999999999998</v>
      </c>
      <c r="E49" s="2">
        <v>1.5563</v>
      </c>
      <c r="F49" s="2">
        <v>-13.043480000000001</v>
      </c>
      <c r="G49" s="2">
        <v>5.6333333333333329</v>
      </c>
      <c r="H49" s="2">
        <v>0.95889999999999997</v>
      </c>
      <c r="I49" s="8">
        <v>357.76299999999998</v>
      </c>
      <c r="J49">
        <v>3.6598178666666668E-2</v>
      </c>
      <c r="K49">
        <v>3.7548176999999995E-2</v>
      </c>
      <c r="L49">
        <f t="shared" si="0"/>
        <v>3.6598178666666668</v>
      </c>
      <c r="M49">
        <f t="shared" si="1"/>
        <v>3.7548176999999994</v>
      </c>
      <c r="N49">
        <v>3.4299999999999997</v>
      </c>
      <c r="O49">
        <f t="shared" si="2"/>
        <v>0.61999999999999966</v>
      </c>
      <c r="P49" s="2">
        <f>H49-H45</f>
        <v>1.1706099999999999</v>
      </c>
      <c r="Q49" s="7">
        <f>IF(MONTH(A49) = 1, 1, 0)</f>
        <v>0</v>
      </c>
      <c r="R49">
        <f>IF(MONTH(A49) = 4, 1, 0)</f>
        <v>0</v>
      </c>
      <c r="S49">
        <f>IF(MONTH(A49) = 7, 1, 0)</f>
        <v>0</v>
      </c>
      <c r="T49">
        <f>IF(MONTH(A49) = 10, 1, 0)</f>
        <v>1</v>
      </c>
      <c r="U49" s="2">
        <v>0.38529999999999998</v>
      </c>
    </row>
    <row r="50" spans="1:21" x14ac:dyDescent="0.15">
      <c r="A50" s="11">
        <v>34700</v>
      </c>
      <c r="B50" s="2">
        <v>0.84335000000000004</v>
      </c>
      <c r="C50" s="2">
        <v>0.56164000000000003</v>
      </c>
      <c r="D50" s="2">
        <v>1.1896599999999999</v>
      </c>
      <c r="E50" s="2">
        <v>0.74102000000000001</v>
      </c>
      <c r="F50" s="2">
        <v>5</v>
      </c>
      <c r="G50" s="2">
        <v>5.4666666666666668</v>
      </c>
      <c r="H50" s="2">
        <v>1.08548</v>
      </c>
      <c r="I50" s="8">
        <v>345.197</v>
      </c>
      <c r="J50">
        <v>3.5793374666666662E-2</v>
      </c>
      <c r="K50">
        <v>3.7372575999999998E-2</v>
      </c>
      <c r="L50">
        <f t="shared" si="0"/>
        <v>3.5793374666666664</v>
      </c>
      <c r="M50">
        <f t="shared" si="1"/>
        <v>3.7372576</v>
      </c>
      <c r="N50">
        <v>3.35</v>
      </c>
      <c r="O50">
        <f t="shared" si="2"/>
        <v>0.29999999999999982</v>
      </c>
      <c r="P50" s="2">
        <f>H50-H46</f>
        <v>1.58053</v>
      </c>
      <c r="Q50" s="7">
        <f>IF(MONTH(A50) = 1, 1, 0)</f>
        <v>1</v>
      </c>
      <c r="R50">
        <f>IF(MONTH(A50) = 4, 1, 0)</f>
        <v>0</v>
      </c>
      <c r="S50">
        <f>IF(MONTH(A50) = 7, 1, 0)</f>
        <v>0</v>
      </c>
      <c r="T50">
        <f>IF(MONTH(A50) = 10, 1, 0)</f>
        <v>0</v>
      </c>
      <c r="U50" s="2">
        <v>1.5395099999999999</v>
      </c>
    </row>
    <row r="51" spans="1:21" x14ac:dyDescent="0.15">
      <c r="A51" s="11">
        <v>34790</v>
      </c>
      <c r="B51" s="2">
        <v>0.81538999999999995</v>
      </c>
      <c r="C51" s="2">
        <v>-0.41887999999999997</v>
      </c>
      <c r="D51" s="2">
        <v>0.52000999999999997</v>
      </c>
      <c r="E51" s="2">
        <v>1.4629099999999999</v>
      </c>
      <c r="F51" s="2">
        <v>14.28571</v>
      </c>
      <c r="G51" s="2">
        <v>5.666666666666667</v>
      </c>
      <c r="H51" s="2">
        <v>2.04698</v>
      </c>
      <c r="I51" s="8">
        <v>272.113</v>
      </c>
      <c r="J51">
        <v>3.3292601999999998E-2</v>
      </c>
      <c r="K51">
        <v>3.2893111333333336E-2</v>
      </c>
      <c r="L51">
        <f t="shared" si="0"/>
        <v>3.3292601999999998</v>
      </c>
      <c r="M51">
        <f t="shared" si="1"/>
        <v>3.2893111333333334</v>
      </c>
      <c r="N51">
        <v>3.2033333333333331</v>
      </c>
      <c r="O51">
        <f t="shared" si="2"/>
        <v>2.9999999999999805E-2</v>
      </c>
      <c r="P51" s="2">
        <f>H51-H47</f>
        <v>0.23460999999999999</v>
      </c>
      <c r="Q51" s="7">
        <f>IF(MONTH(A51) = 1, 1, 0)</f>
        <v>0</v>
      </c>
      <c r="R51">
        <f>IF(MONTH(A51) = 4, 1, 0)</f>
        <v>1</v>
      </c>
      <c r="S51">
        <f>IF(MONTH(A51) = 7, 1, 0)</f>
        <v>0</v>
      </c>
      <c r="T51">
        <f>IF(MONTH(A51) = 10, 1, 0)</f>
        <v>0</v>
      </c>
      <c r="U51" s="2">
        <v>-0.10997</v>
      </c>
    </row>
    <row r="52" spans="1:21" x14ac:dyDescent="0.15">
      <c r="A52" s="11">
        <v>34881</v>
      </c>
      <c r="B52" s="2">
        <v>0.66363000000000005</v>
      </c>
      <c r="C52" s="2">
        <v>8.4129999999999996E-2</v>
      </c>
      <c r="D52" s="2">
        <v>0.17993999999999999</v>
      </c>
      <c r="E52" s="2">
        <v>1.3188500000000001</v>
      </c>
      <c r="F52" s="2">
        <v>-20.83333</v>
      </c>
      <c r="G52" s="2">
        <v>5.666666666666667</v>
      </c>
      <c r="H52" s="2">
        <v>-0.46037</v>
      </c>
      <c r="I52" s="8">
        <v>288.89299999999997</v>
      </c>
      <c r="J52">
        <v>3.2447513333333337E-2</v>
      </c>
      <c r="K52">
        <v>3.1233996666666666E-2</v>
      </c>
      <c r="L52">
        <f t="shared" si="0"/>
        <v>3.2447513333333338</v>
      </c>
      <c r="M52">
        <f t="shared" si="1"/>
        <v>3.1233996666666668</v>
      </c>
      <c r="N52">
        <v>3.2999999999999994</v>
      </c>
      <c r="O52">
        <f t="shared" si="2"/>
        <v>5.6666666666665755E-2</v>
      </c>
      <c r="P52" s="2">
        <f>H52-H48</f>
        <v>-2.38009</v>
      </c>
      <c r="Q52" s="7">
        <f>IF(MONTH(A52) = 1, 1, 0)</f>
        <v>0</v>
      </c>
      <c r="R52">
        <f>IF(MONTH(A52) = 4, 1, 0)</f>
        <v>0</v>
      </c>
      <c r="S52">
        <f>IF(MONTH(A52) = 7, 1, 0)</f>
        <v>1</v>
      </c>
      <c r="T52">
        <f>IF(MONTH(A52) = 10, 1, 0)</f>
        <v>0</v>
      </c>
      <c r="U52" s="2">
        <v>-0.61875999999999998</v>
      </c>
    </row>
    <row r="53" spans="1:21" x14ac:dyDescent="0.15">
      <c r="A53" s="11">
        <v>34973</v>
      </c>
      <c r="B53" s="2">
        <v>0.70045000000000002</v>
      </c>
      <c r="C53" s="2">
        <v>0.36425000000000002</v>
      </c>
      <c r="D53" s="2">
        <v>0.74090999999999996</v>
      </c>
      <c r="E53" s="2">
        <v>1.1403000000000001</v>
      </c>
      <c r="F53" s="2">
        <v>5.2631600000000001</v>
      </c>
      <c r="G53" s="2">
        <v>5.5666666666666664</v>
      </c>
      <c r="H53" s="2">
        <v>-0.23125000000000001</v>
      </c>
      <c r="I53" s="8">
        <v>239.899</v>
      </c>
      <c r="J53">
        <v>2.9553916666666669E-2</v>
      </c>
      <c r="K53">
        <v>2.9762854000000002E-2</v>
      </c>
      <c r="L53">
        <f t="shared" si="0"/>
        <v>2.9553916666666669</v>
      </c>
      <c r="M53">
        <f t="shared" si="1"/>
        <v>2.9762854000000001</v>
      </c>
      <c r="N53">
        <v>3.3633333333333333</v>
      </c>
      <c r="O53">
        <f t="shared" si="2"/>
        <v>-6.666666666666643E-2</v>
      </c>
      <c r="P53" s="2">
        <f>H53-H49</f>
        <v>-1.19015</v>
      </c>
      <c r="Q53" s="7">
        <f>IF(MONTH(A53) = 1, 1, 0)</f>
        <v>0</v>
      </c>
      <c r="R53">
        <f>IF(MONTH(A53) = 4, 1, 0)</f>
        <v>0</v>
      </c>
      <c r="S53">
        <f>IF(MONTH(A53) = 7, 1, 0)</f>
        <v>0</v>
      </c>
      <c r="T53">
        <f>IF(MONTH(A53) = 10, 1, 0)</f>
        <v>1</v>
      </c>
      <c r="U53" s="2">
        <v>1.45862</v>
      </c>
    </row>
    <row r="54" spans="1:21" x14ac:dyDescent="0.15">
      <c r="A54" s="11">
        <v>35065</v>
      </c>
      <c r="B54" s="2">
        <v>0.67512000000000005</v>
      </c>
      <c r="C54" s="2">
        <v>0.89336000000000004</v>
      </c>
      <c r="D54" s="2">
        <v>1.0474699999999999</v>
      </c>
      <c r="E54" s="2">
        <v>1.48217</v>
      </c>
      <c r="F54" s="2">
        <v>-20</v>
      </c>
      <c r="G54" s="2">
        <v>5.5333333333333332</v>
      </c>
      <c r="H54" s="2">
        <v>0.59602999999999995</v>
      </c>
      <c r="I54" s="8">
        <v>252.28800000000001</v>
      </c>
      <c r="J54">
        <v>2.8467724999999999E-2</v>
      </c>
      <c r="K54">
        <v>2.9038630666666666E-2</v>
      </c>
      <c r="L54">
        <f t="shared" si="0"/>
        <v>2.8467725000000002</v>
      </c>
      <c r="M54">
        <f t="shared" si="1"/>
        <v>2.9038630666666667</v>
      </c>
      <c r="N54">
        <v>3.2966666666666669</v>
      </c>
      <c r="O54">
        <f t="shared" si="2"/>
        <v>-5.3333333333333233E-2</v>
      </c>
      <c r="P54" s="2">
        <f>H54-H50</f>
        <v>-0.48945000000000005</v>
      </c>
      <c r="Q54" s="7">
        <f>IF(MONTH(A54) = 1, 1, 0)</f>
        <v>1</v>
      </c>
      <c r="R54">
        <f>IF(MONTH(A54) = 4, 1, 0)</f>
        <v>0</v>
      </c>
      <c r="S54">
        <f>IF(MONTH(A54) = 7, 1, 0)</f>
        <v>0</v>
      </c>
      <c r="T54">
        <f>IF(MONTH(A54) = 10, 1, 0)</f>
        <v>0</v>
      </c>
      <c r="U54" s="2">
        <v>4.3972100000000003</v>
      </c>
    </row>
    <row r="55" spans="1:21" x14ac:dyDescent="0.15">
      <c r="A55" s="11">
        <v>35156</v>
      </c>
      <c r="B55" s="2">
        <v>0.58931</v>
      </c>
      <c r="C55" s="2">
        <v>0.91312000000000004</v>
      </c>
      <c r="D55" s="2">
        <v>0.77195000000000003</v>
      </c>
      <c r="E55" s="2">
        <v>1.75288</v>
      </c>
      <c r="F55" s="2">
        <v>18.75</v>
      </c>
      <c r="G55" s="2">
        <v>5.5</v>
      </c>
      <c r="H55" s="2">
        <v>0.39500000000000002</v>
      </c>
      <c r="I55" s="8">
        <v>347.096</v>
      </c>
      <c r="J55">
        <v>3.2024397333333336E-2</v>
      </c>
      <c r="K55">
        <v>3.2487936666666668E-2</v>
      </c>
      <c r="L55">
        <f t="shared" si="0"/>
        <v>3.2024397333333336</v>
      </c>
      <c r="M55">
        <f t="shared" si="1"/>
        <v>3.2487936666666668</v>
      </c>
      <c r="N55">
        <v>3.2666666666666671</v>
      </c>
      <c r="O55">
        <f t="shared" si="2"/>
        <v>6.3333333333333908E-2</v>
      </c>
      <c r="P55" s="2">
        <f>H55-H51</f>
        <v>-1.65198</v>
      </c>
      <c r="Q55" s="7">
        <f>IF(MONTH(A55) = 1, 1, 0)</f>
        <v>0</v>
      </c>
      <c r="R55">
        <f>IF(MONTH(A55) = 4, 1, 0)</f>
        <v>1</v>
      </c>
      <c r="S55">
        <f>IF(MONTH(A55) = 7, 1, 0)</f>
        <v>0</v>
      </c>
      <c r="T55">
        <f>IF(MONTH(A55) = 10, 1, 0)</f>
        <v>0</v>
      </c>
      <c r="U55" s="2">
        <v>-4.1584899999999996</v>
      </c>
    </row>
    <row r="56" spans="1:21" x14ac:dyDescent="0.15">
      <c r="A56" s="11">
        <v>35247</v>
      </c>
      <c r="B56" s="2">
        <v>0.64646000000000003</v>
      </c>
      <c r="C56" s="2">
        <v>0.95969000000000004</v>
      </c>
      <c r="D56" s="2">
        <v>1.00678</v>
      </c>
      <c r="E56" s="2">
        <v>1.0337400000000001</v>
      </c>
      <c r="F56" s="2">
        <v>-5.2631600000000001</v>
      </c>
      <c r="G56" s="2">
        <v>5.2666666666666666</v>
      </c>
      <c r="H56" s="2">
        <v>-0.62295</v>
      </c>
      <c r="I56" s="8">
        <v>357.63499999999999</v>
      </c>
      <c r="J56">
        <v>3.1289913000000003E-2</v>
      </c>
      <c r="K56">
        <v>3.2915960666666667E-2</v>
      </c>
      <c r="L56">
        <f t="shared" si="0"/>
        <v>3.1289913</v>
      </c>
      <c r="M56">
        <f t="shared" si="1"/>
        <v>3.2915960666666666</v>
      </c>
      <c r="N56">
        <v>3.2733333333333334</v>
      </c>
      <c r="O56">
        <f t="shared" si="2"/>
        <v>-2.666666666666595E-2</v>
      </c>
      <c r="P56" s="2">
        <f>H56-H52</f>
        <v>-0.16258</v>
      </c>
      <c r="Q56" s="7">
        <f>IF(MONTH(A56) = 1, 1, 0)</f>
        <v>0</v>
      </c>
      <c r="R56">
        <f>IF(MONTH(A56) = 4, 1, 0)</f>
        <v>0</v>
      </c>
      <c r="S56">
        <f>IF(MONTH(A56) = 7, 1, 0)</f>
        <v>1</v>
      </c>
      <c r="T56">
        <f>IF(MONTH(A56) = 10, 1, 0)</f>
        <v>0</v>
      </c>
      <c r="U56" s="2">
        <v>-2.5736300000000001</v>
      </c>
    </row>
    <row r="57" spans="1:21" x14ac:dyDescent="0.15">
      <c r="A57" s="11">
        <v>35339</v>
      </c>
      <c r="B57" s="2">
        <v>0.64231000000000005</v>
      </c>
      <c r="C57" s="2">
        <v>0.51602000000000003</v>
      </c>
      <c r="D57" s="2">
        <v>1.32178</v>
      </c>
      <c r="E57" s="2">
        <v>1.48387</v>
      </c>
      <c r="F57" s="2">
        <v>27.77778</v>
      </c>
      <c r="G57" s="2">
        <v>5.333333333333333</v>
      </c>
      <c r="H57" s="2">
        <v>1.3197000000000001</v>
      </c>
      <c r="I57" s="8">
        <v>403.99099999999999</v>
      </c>
      <c r="J57">
        <v>3.080832E-2</v>
      </c>
      <c r="K57">
        <v>3.1699937666666664E-2</v>
      </c>
      <c r="L57">
        <f t="shared" si="0"/>
        <v>3.080832</v>
      </c>
      <c r="M57">
        <f t="shared" si="1"/>
        <v>3.1699937666666664</v>
      </c>
      <c r="N57">
        <v>3.3866666666666667</v>
      </c>
      <c r="O57">
        <f t="shared" si="2"/>
        <v>2.3333333333333428E-2</v>
      </c>
      <c r="P57" s="2">
        <f>H57-H53</f>
        <v>1.5509500000000001</v>
      </c>
      <c r="Q57" s="7">
        <f>IF(MONTH(A57) = 1, 1, 0)</f>
        <v>0</v>
      </c>
      <c r="R57">
        <f>IF(MONTH(A57) = 4, 1, 0)</f>
        <v>0</v>
      </c>
      <c r="S57">
        <f>IF(MONTH(A57) = 7, 1, 0)</f>
        <v>0</v>
      </c>
      <c r="T57">
        <f>IF(MONTH(A57) = 10, 1, 0)</f>
        <v>1</v>
      </c>
      <c r="U57" s="2">
        <v>-0.18415000000000001</v>
      </c>
    </row>
    <row r="58" spans="1:21" x14ac:dyDescent="0.15">
      <c r="A58" s="11">
        <v>35431</v>
      </c>
      <c r="B58" s="2">
        <v>0.57838000000000001</v>
      </c>
      <c r="C58" s="2">
        <v>2.26966</v>
      </c>
      <c r="D58" s="2">
        <v>0.42771999999999999</v>
      </c>
      <c r="E58" s="2">
        <v>1.50078</v>
      </c>
      <c r="F58" s="2">
        <v>-30.43478</v>
      </c>
      <c r="G58" s="2">
        <v>5.2333333333333334</v>
      </c>
      <c r="H58" s="2">
        <v>-1.20482</v>
      </c>
      <c r="I58" s="8">
        <v>413.99700000000001</v>
      </c>
      <c r="J58">
        <v>3.1742476666666665E-2</v>
      </c>
      <c r="K58">
        <v>3.2455742666666669E-2</v>
      </c>
      <c r="L58">
        <f t="shared" si="0"/>
        <v>3.1742476666666666</v>
      </c>
      <c r="M58">
        <f t="shared" si="1"/>
        <v>3.2455742666666669</v>
      </c>
      <c r="N58">
        <v>3.4899999999999998</v>
      </c>
      <c r="O58">
        <f t="shared" si="2"/>
        <v>0.19333333333333291</v>
      </c>
      <c r="P58" s="2">
        <f>H58-H54</f>
        <v>-1.8008500000000001</v>
      </c>
      <c r="Q58" s="7">
        <f>IF(MONTH(A58) = 1, 1, 0)</f>
        <v>1</v>
      </c>
      <c r="R58">
        <f>IF(MONTH(A58) = 4, 1, 0)</f>
        <v>0</v>
      </c>
      <c r="S58">
        <f>IF(MONTH(A58) = 7, 1, 0)</f>
        <v>0</v>
      </c>
      <c r="T58">
        <f>IF(MONTH(A58) = 10, 1, 0)</f>
        <v>0</v>
      </c>
      <c r="U58" s="2">
        <v>0.13059000000000001</v>
      </c>
    </row>
    <row r="59" spans="1:21" x14ac:dyDescent="0.15">
      <c r="A59" s="11">
        <v>35521</v>
      </c>
      <c r="B59" s="2">
        <v>0.63453999999999999</v>
      </c>
      <c r="C59" s="2">
        <v>-1.4795199999999999</v>
      </c>
      <c r="D59" s="2">
        <v>4.2590000000000003E-2</v>
      </c>
      <c r="E59" s="2">
        <v>0.70186999999999999</v>
      </c>
      <c r="F59" s="2">
        <v>31.25</v>
      </c>
      <c r="G59" s="2">
        <v>5</v>
      </c>
      <c r="H59" s="2">
        <v>-2.3071899999999999</v>
      </c>
      <c r="I59" s="8">
        <v>422.38900000000001</v>
      </c>
      <c r="J59">
        <v>3.1893510666666659E-2</v>
      </c>
      <c r="K59">
        <v>3.3250242666666666E-2</v>
      </c>
      <c r="L59">
        <f t="shared" si="0"/>
        <v>3.1893510666666658</v>
      </c>
      <c r="M59">
        <f t="shared" si="1"/>
        <v>3.3250242666666665</v>
      </c>
      <c r="N59">
        <v>3.44</v>
      </c>
      <c r="O59">
        <f t="shared" si="2"/>
        <v>0.1733333333333329</v>
      </c>
      <c r="P59" s="2">
        <f>H59-H55</f>
        <v>-2.7021899999999999</v>
      </c>
      <c r="Q59" s="7">
        <f>IF(MONTH(A59) = 1, 1, 0)</f>
        <v>0</v>
      </c>
      <c r="R59">
        <f>IF(MONTH(A59) = 4, 1, 0)</f>
        <v>1</v>
      </c>
      <c r="S59">
        <f>IF(MONTH(A59) = 7, 1, 0)</f>
        <v>0</v>
      </c>
      <c r="T59">
        <f>IF(MONTH(A59) = 10, 1, 0)</f>
        <v>0</v>
      </c>
      <c r="U59" s="2">
        <v>-0.32767000000000002</v>
      </c>
    </row>
    <row r="60" spans="1:21" x14ac:dyDescent="0.15">
      <c r="A60" s="11">
        <v>35612</v>
      </c>
      <c r="B60" s="2">
        <v>0.4335</v>
      </c>
      <c r="C60" s="2">
        <v>0.10727</v>
      </c>
      <c r="D60" s="2">
        <v>0.57471000000000005</v>
      </c>
      <c r="E60" s="2">
        <v>1.9727399999999999</v>
      </c>
      <c r="F60" s="2">
        <v>-57.142859999999999</v>
      </c>
      <c r="G60" s="2">
        <v>4.8666666666666671</v>
      </c>
      <c r="H60" s="2">
        <v>-0.37112000000000001</v>
      </c>
      <c r="I60" s="8">
        <v>443.322</v>
      </c>
      <c r="J60">
        <v>3.0243427999999999E-2</v>
      </c>
      <c r="K60">
        <v>3.1583393333333341E-2</v>
      </c>
      <c r="L60">
        <f t="shared" si="0"/>
        <v>3.0243427999999999</v>
      </c>
      <c r="M60">
        <f t="shared" si="1"/>
        <v>3.1583393333333341</v>
      </c>
      <c r="N60">
        <v>3.5500000000000003</v>
      </c>
      <c r="O60">
        <f t="shared" si="2"/>
        <v>0.27666666666666684</v>
      </c>
      <c r="P60" s="2">
        <f>H60-H56</f>
        <v>0.25183</v>
      </c>
      <c r="Q60" s="7">
        <f>IF(MONTH(A60) = 1, 1, 0)</f>
        <v>0</v>
      </c>
      <c r="R60">
        <f>IF(MONTH(A60) = 4, 1, 0)</f>
        <v>0</v>
      </c>
      <c r="S60">
        <f>IF(MONTH(A60) = 7, 1, 0)</f>
        <v>1</v>
      </c>
      <c r="T60">
        <f>IF(MONTH(A60) = 10, 1, 0)</f>
        <v>0</v>
      </c>
      <c r="U60" s="2">
        <v>0.86890999999999996</v>
      </c>
    </row>
    <row r="61" spans="1:21" x14ac:dyDescent="0.15">
      <c r="A61" s="11">
        <v>35704</v>
      </c>
      <c r="B61" s="2">
        <v>0.56896000000000002</v>
      </c>
      <c r="C61" s="2">
        <v>0.66969999999999996</v>
      </c>
      <c r="D61" s="2">
        <v>0.61375999999999997</v>
      </c>
      <c r="E61" s="2">
        <v>1.51397</v>
      </c>
      <c r="F61" s="2">
        <v>44.44444</v>
      </c>
      <c r="G61" s="2">
        <v>4.666666666666667</v>
      </c>
      <c r="H61" s="2">
        <v>-0.47409000000000001</v>
      </c>
      <c r="I61" s="8">
        <v>415.22699999999998</v>
      </c>
      <c r="J61">
        <v>2.9521174333333334E-2</v>
      </c>
      <c r="K61">
        <v>3.0661783666666668E-2</v>
      </c>
      <c r="L61">
        <f t="shared" si="0"/>
        <v>2.9521174333333335</v>
      </c>
      <c r="M61">
        <f t="shared" si="1"/>
        <v>3.0661783666666667</v>
      </c>
      <c r="N61">
        <v>3.686666666666667</v>
      </c>
      <c r="O61">
        <f t="shared" si="2"/>
        <v>0.30000000000000027</v>
      </c>
      <c r="P61" s="2">
        <f>H61-H57</f>
        <v>-1.79379</v>
      </c>
      <c r="Q61" s="7">
        <f>IF(MONTH(A61) = 1, 1, 0)</f>
        <v>0</v>
      </c>
      <c r="R61">
        <f>IF(MONTH(A61) = 4, 1, 0)</f>
        <v>0</v>
      </c>
      <c r="S61">
        <f>IF(MONTH(A61) = 7, 1, 0)</f>
        <v>0</v>
      </c>
      <c r="T61">
        <f>IF(MONTH(A61) = 10, 1, 0)</f>
        <v>1</v>
      </c>
      <c r="U61" s="2">
        <v>9.1079999999999994E-2</v>
      </c>
    </row>
    <row r="62" spans="1:21" x14ac:dyDescent="0.15">
      <c r="A62" s="11">
        <v>35796</v>
      </c>
      <c r="B62" s="2">
        <v>0.60475999999999996</v>
      </c>
      <c r="C62" s="2">
        <v>-2.3948900000000002</v>
      </c>
      <c r="D62" s="2">
        <v>0.75726000000000004</v>
      </c>
      <c r="E62" s="2">
        <v>1.01878</v>
      </c>
      <c r="F62" s="2">
        <v>-7.69231</v>
      </c>
      <c r="G62" s="2">
        <v>4.6333333333333329</v>
      </c>
      <c r="H62" s="2">
        <v>-3.0282399999999998</v>
      </c>
      <c r="I62" s="8">
        <v>423.71499999999997</v>
      </c>
      <c r="J62">
        <v>2.7487349333333338E-2</v>
      </c>
      <c r="K62">
        <v>2.9368389999999998E-2</v>
      </c>
      <c r="L62">
        <f t="shared" si="0"/>
        <v>2.748734933333334</v>
      </c>
      <c r="M62">
        <f t="shared" si="1"/>
        <v>2.936839</v>
      </c>
      <c r="N62">
        <v>3.7966666666666669</v>
      </c>
      <c r="O62">
        <f t="shared" si="2"/>
        <v>0.30666666666666709</v>
      </c>
      <c r="P62" s="2">
        <f>H62-H58</f>
        <v>-1.8234199999999998</v>
      </c>
      <c r="Q62" s="7">
        <f>IF(MONTH(A62) = 1, 1, 0)</f>
        <v>1</v>
      </c>
      <c r="R62">
        <f>IF(MONTH(A62) = 4, 1, 0)</f>
        <v>0</v>
      </c>
      <c r="S62">
        <f>IF(MONTH(A62) = 7, 1, 0)</f>
        <v>0</v>
      </c>
      <c r="T62">
        <f>IF(MONTH(A62) = 10, 1, 0)</f>
        <v>0</v>
      </c>
      <c r="U62" s="2">
        <v>1.27284</v>
      </c>
    </row>
    <row r="63" spans="1:21" x14ac:dyDescent="0.15">
      <c r="A63" s="11">
        <v>35886</v>
      </c>
      <c r="B63" s="2">
        <v>0.56233999999999995</v>
      </c>
      <c r="C63" s="2">
        <v>-0.13630999999999999</v>
      </c>
      <c r="D63" s="2">
        <v>0.25052000000000002</v>
      </c>
      <c r="E63" s="2">
        <v>1.9441900000000001</v>
      </c>
      <c r="F63" s="2">
        <v>0</v>
      </c>
      <c r="G63" s="2">
        <v>4.4000000000000004</v>
      </c>
      <c r="H63" s="2">
        <v>-1.5087699999999999</v>
      </c>
      <c r="I63" s="8">
        <v>353.64600000000002</v>
      </c>
      <c r="J63">
        <v>2.6122002000000002E-2</v>
      </c>
      <c r="K63">
        <v>2.939082933333333E-2</v>
      </c>
      <c r="L63">
        <f t="shared" si="0"/>
        <v>2.6122002000000002</v>
      </c>
      <c r="M63">
        <f t="shared" si="1"/>
        <v>2.9390829333333328</v>
      </c>
      <c r="N63">
        <v>3.813333333333333</v>
      </c>
      <c r="O63">
        <f t="shared" si="2"/>
        <v>0.37333333333333307</v>
      </c>
      <c r="P63" s="2">
        <f>H63-H59</f>
        <v>0.79841999999999991</v>
      </c>
      <c r="Q63" s="7">
        <f>IF(MONTH(A63) = 1, 1, 0)</f>
        <v>0</v>
      </c>
      <c r="R63">
        <f>IF(MONTH(A63) = 4, 1, 0)</f>
        <v>1</v>
      </c>
      <c r="S63">
        <f>IF(MONTH(A63) = 7, 1, 0)</f>
        <v>0</v>
      </c>
      <c r="T63">
        <f>IF(MONTH(A63) = 10, 1, 0)</f>
        <v>0</v>
      </c>
      <c r="U63" s="2">
        <v>3.2958099999999999</v>
      </c>
    </row>
    <row r="64" spans="1:21" x14ac:dyDescent="0.15">
      <c r="A64" s="11">
        <v>35977</v>
      </c>
      <c r="B64" s="2">
        <v>0.59775999999999996</v>
      </c>
      <c r="C64" s="2">
        <v>-1.1193</v>
      </c>
      <c r="D64" s="2">
        <v>0.49979000000000001</v>
      </c>
      <c r="E64" s="2">
        <v>1.6167800000000001</v>
      </c>
      <c r="F64" s="2">
        <v>16.66667</v>
      </c>
      <c r="G64" s="2">
        <v>4.5333333333333332</v>
      </c>
      <c r="H64" s="2">
        <v>-1.4962599999999999</v>
      </c>
      <c r="I64" s="8">
        <v>360.22800000000001</v>
      </c>
      <c r="J64">
        <v>2.6607547333333332E-2</v>
      </c>
      <c r="K64">
        <v>2.8607493333333334E-2</v>
      </c>
      <c r="L64">
        <f t="shared" si="0"/>
        <v>2.660754733333333</v>
      </c>
      <c r="M64">
        <f t="shared" si="1"/>
        <v>2.8607493333333336</v>
      </c>
      <c r="N64">
        <v>3.76</v>
      </c>
      <c r="O64">
        <f t="shared" si="2"/>
        <v>0.20999999999999952</v>
      </c>
      <c r="P64" s="2">
        <f>H64-H60</f>
        <v>-1.12514</v>
      </c>
      <c r="Q64" s="7">
        <f>IF(MONTH(A64) = 1, 1, 0)</f>
        <v>0</v>
      </c>
      <c r="R64">
        <f>IF(MONTH(A64) = 4, 1, 0)</f>
        <v>0</v>
      </c>
      <c r="S64">
        <f>IF(MONTH(A64) = 7, 1, 0)</f>
        <v>1</v>
      </c>
      <c r="T64">
        <f>IF(MONTH(A64) = 10, 1, 0)</f>
        <v>0</v>
      </c>
      <c r="U64" s="2">
        <v>5.4645900000000003</v>
      </c>
    </row>
    <row r="65" spans="1:21" x14ac:dyDescent="0.15">
      <c r="A65" s="11">
        <v>36069</v>
      </c>
      <c r="B65" s="2">
        <v>0.55588000000000004</v>
      </c>
      <c r="C65" s="2">
        <v>-0.66261999999999999</v>
      </c>
      <c r="D65" s="2">
        <v>0.78739999999999999</v>
      </c>
      <c r="E65" s="2">
        <v>1.7102900000000001</v>
      </c>
      <c r="F65" s="2">
        <v>-7.1428599999999998</v>
      </c>
      <c r="G65" s="2">
        <v>4.4333333333333336</v>
      </c>
      <c r="H65" s="2">
        <v>-0.50632999999999995</v>
      </c>
      <c r="I65" s="8">
        <v>416.738</v>
      </c>
      <c r="J65">
        <v>2.3254917333333333E-2</v>
      </c>
      <c r="K65">
        <v>2.4843892333333329E-2</v>
      </c>
      <c r="L65">
        <f t="shared" si="0"/>
        <v>2.3254917333333331</v>
      </c>
      <c r="M65">
        <f t="shared" si="1"/>
        <v>2.4843892333333328</v>
      </c>
      <c r="N65">
        <v>3.7366666666666668</v>
      </c>
      <c r="O65">
        <f t="shared" si="2"/>
        <v>4.9999999999999822E-2</v>
      </c>
      <c r="P65" s="2">
        <f>H65-H61</f>
        <v>-3.2239999999999935E-2</v>
      </c>
      <c r="Q65" s="7">
        <f>IF(MONTH(A65) = 1, 1, 0)</f>
        <v>0</v>
      </c>
      <c r="R65">
        <f>IF(MONTH(A65) = 4, 1, 0)</f>
        <v>0</v>
      </c>
      <c r="S65">
        <f>IF(MONTH(A65) = 7, 1, 0)</f>
        <v>0</v>
      </c>
      <c r="T65">
        <f>IF(MONTH(A65) = 10, 1, 0)</f>
        <v>1</v>
      </c>
      <c r="U65" s="2">
        <v>-2.1482100000000002</v>
      </c>
    </row>
    <row r="66" spans="1:21" x14ac:dyDescent="0.15">
      <c r="A66" s="11">
        <v>36161</v>
      </c>
      <c r="B66" s="2">
        <v>0.43842999999999999</v>
      </c>
      <c r="C66" s="2">
        <v>0.30573</v>
      </c>
      <c r="D66" s="2">
        <v>0.78125</v>
      </c>
      <c r="E66" s="2">
        <v>1.22424</v>
      </c>
      <c r="F66" s="2">
        <v>-23.076920000000001</v>
      </c>
      <c r="G66" s="2">
        <v>4.3</v>
      </c>
      <c r="H66" s="2">
        <v>-0.39984999999999998</v>
      </c>
      <c r="I66" s="8">
        <v>423.61700000000002</v>
      </c>
      <c r="J66">
        <v>2.5083721333333333E-2</v>
      </c>
      <c r="K66">
        <v>2.6671926000000002E-2</v>
      </c>
      <c r="L66">
        <f t="shared" si="0"/>
        <v>2.5083721333333333</v>
      </c>
      <c r="M66">
        <f t="shared" si="1"/>
        <v>2.6671926000000004</v>
      </c>
      <c r="N66">
        <v>3.98</v>
      </c>
      <c r="O66">
        <f t="shared" si="2"/>
        <v>0.18333333333333313</v>
      </c>
      <c r="P66" s="2">
        <f>H66-H62</f>
        <v>2.62839</v>
      </c>
      <c r="Q66" s="7">
        <f>IF(MONTH(A66) = 1, 1, 0)</f>
        <v>1</v>
      </c>
      <c r="R66">
        <f>IF(MONTH(A66) = 4, 1, 0)</f>
        <v>0</v>
      </c>
      <c r="S66">
        <f>IF(MONTH(A66) = 7, 1, 0)</f>
        <v>0</v>
      </c>
      <c r="T66">
        <f>IF(MONTH(A66) = 10, 1, 0)</f>
        <v>0</v>
      </c>
      <c r="U66" s="2">
        <v>-0.57867000000000002</v>
      </c>
    </row>
    <row r="67" spans="1:21" x14ac:dyDescent="0.15">
      <c r="A67" s="11">
        <v>36251</v>
      </c>
      <c r="B67" s="2">
        <v>0.47447</v>
      </c>
      <c r="C67" s="2">
        <v>-0.19395999999999999</v>
      </c>
      <c r="D67" s="2">
        <v>0.10199999999999999</v>
      </c>
      <c r="E67" s="2">
        <v>2.1074899999999999</v>
      </c>
      <c r="F67" s="2">
        <v>40</v>
      </c>
      <c r="G67" s="2">
        <v>4.2666666666666666</v>
      </c>
      <c r="H67" s="2">
        <v>1.6058399999999999</v>
      </c>
      <c r="I67" s="8">
        <v>435.70100000000002</v>
      </c>
      <c r="J67">
        <v>2.5968042333333333E-2</v>
      </c>
      <c r="K67">
        <v>2.8608256666666665E-2</v>
      </c>
      <c r="L67">
        <f t="shared" ref="L67:L130" si="3">J67*100</f>
        <v>2.5968042333333332</v>
      </c>
      <c r="M67">
        <f t="shared" ref="M67:M130" si="4">K67*100</f>
        <v>2.8608256666666665</v>
      </c>
      <c r="N67">
        <v>3.8466666666666662</v>
      </c>
      <c r="O67">
        <f t="shared" si="2"/>
        <v>3.3333333333333215E-2</v>
      </c>
      <c r="P67" s="2">
        <f>H67-H63</f>
        <v>3.1146099999999999</v>
      </c>
      <c r="Q67" s="7">
        <f>IF(MONTH(A67) = 1, 1, 0)</f>
        <v>0</v>
      </c>
      <c r="R67">
        <f>IF(MONTH(A67) = 4, 1, 0)</f>
        <v>1</v>
      </c>
      <c r="S67">
        <f>IF(MONTH(A67) = 7, 1, 0)</f>
        <v>0</v>
      </c>
      <c r="T67">
        <f>IF(MONTH(A67) = 10, 1, 0)</f>
        <v>0</v>
      </c>
      <c r="U67" s="2">
        <v>-0.13477</v>
      </c>
    </row>
    <row r="68" spans="1:21" x14ac:dyDescent="0.15">
      <c r="A68" s="11">
        <v>36342</v>
      </c>
      <c r="B68" s="2">
        <v>0.52890000000000004</v>
      </c>
      <c r="C68" s="2">
        <v>0.83287</v>
      </c>
      <c r="D68" s="2">
        <v>0.38719999999999999</v>
      </c>
      <c r="E68" s="2">
        <v>1.68041</v>
      </c>
      <c r="F68" s="2">
        <v>7.1428599999999998</v>
      </c>
      <c r="G68" s="2">
        <v>4.2333333333333334</v>
      </c>
      <c r="H68" s="2">
        <v>2.15517</v>
      </c>
      <c r="I68" s="8">
        <v>451.49200000000002</v>
      </c>
      <c r="J68">
        <v>2.7673423000000003E-2</v>
      </c>
      <c r="K68">
        <v>3.0533912999999999E-2</v>
      </c>
      <c r="L68">
        <f t="shared" si="3"/>
        <v>2.7673423000000001</v>
      </c>
      <c r="M68">
        <f t="shared" si="4"/>
        <v>3.0533912999999999</v>
      </c>
      <c r="N68">
        <v>3.7900000000000005</v>
      </c>
      <c r="O68">
        <f t="shared" si="2"/>
        <v>3.0000000000000693E-2</v>
      </c>
      <c r="P68" s="2">
        <f>H68-H64</f>
        <v>3.65143</v>
      </c>
      <c r="Q68" s="7">
        <f>IF(MONTH(A68) = 1, 1, 0)</f>
        <v>0</v>
      </c>
      <c r="R68">
        <f>IF(MONTH(A68) = 4, 1, 0)</f>
        <v>0</v>
      </c>
      <c r="S68">
        <f>IF(MONTH(A68) = 7, 1, 0)</f>
        <v>1</v>
      </c>
      <c r="T68">
        <f>IF(MONTH(A68) = 10, 1, 0)</f>
        <v>0</v>
      </c>
      <c r="U68" s="2">
        <v>-1.1039000000000001</v>
      </c>
    </row>
    <row r="69" spans="1:21" x14ac:dyDescent="0.15">
      <c r="A69" s="11">
        <v>36434</v>
      </c>
      <c r="B69" s="2">
        <v>0.56369999999999998</v>
      </c>
      <c r="C69" s="2">
        <v>0.74339</v>
      </c>
      <c r="D69" s="2">
        <v>0.62931000000000004</v>
      </c>
      <c r="E69" s="2">
        <v>2.0788199999999999</v>
      </c>
      <c r="F69" s="2">
        <v>26.66667</v>
      </c>
      <c r="G69" s="2">
        <v>4.0666666666666664</v>
      </c>
      <c r="H69" s="2">
        <v>2.0042200000000001</v>
      </c>
      <c r="I69" s="8">
        <v>492.98599999999999</v>
      </c>
      <c r="J69">
        <v>3.0087436666666665E-2</v>
      </c>
      <c r="K69">
        <v>3.1671528999999997E-2</v>
      </c>
      <c r="L69">
        <f t="shared" si="3"/>
        <v>3.0087436666666667</v>
      </c>
      <c r="M69">
        <f t="shared" si="4"/>
        <v>3.1671528999999996</v>
      </c>
      <c r="N69">
        <v>3.8733333333333335</v>
      </c>
      <c r="O69">
        <f t="shared" si="2"/>
        <v>0.13666666666666671</v>
      </c>
      <c r="P69" s="2">
        <f>H69-H65</f>
        <v>2.5105500000000003</v>
      </c>
      <c r="Q69" s="7">
        <f>IF(MONTH(A69) = 1, 1, 0)</f>
        <v>0</v>
      </c>
      <c r="R69">
        <f>IF(MONTH(A69) = 4, 1, 0)</f>
        <v>0</v>
      </c>
      <c r="S69">
        <f>IF(MONTH(A69) = 7, 1, 0)</f>
        <v>0</v>
      </c>
      <c r="T69">
        <f>IF(MONTH(A69) = 10, 1, 0)</f>
        <v>1</v>
      </c>
      <c r="U69" s="2">
        <v>2.6829499999999999</v>
      </c>
    </row>
    <row r="70" spans="1:21" x14ac:dyDescent="0.15">
      <c r="A70" s="11">
        <v>36526</v>
      </c>
      <c r="B70" s="2">
        <v>0.65395999999999999</v>
      </c>
      <c r="C70" s="2">
        <v>0.57393000000000005</v>
      </c>
      <c r="D70" s="2">
        <v>0.64554999999999996</v>
      </c>
      <c r="E70" s="2">
        <v>2.3380100000000001</v>
      </c>
      <c r="F70" s="2">
        <v>10.52632</v>
      </c>
      <c r="G70" s="2">
        <v>4.0333333333333332</v>
      </c>
      <c r="H70" s="2">
        <v>2.5163700000000002</v>
      </c>
      <c r="I70" s="8">
        <v>455.56900000000002</v>
      </c>
      <c r="J70">
        <v>3.1587374666666668E-2</v>
      </c>
      <c r="K70">
        <v>3.3172853333333335E-2</v>
      </c>
      <c r="L70">
        <f t="shared" si="3"/>
        <v>3.1587374666666665</v>
      </c>
      <c r="M70">
        <f t="shared" si="4"/>
        <v>3.3172853333333334</v>
      </c>
      <c r="N70">
        <v>4.083333333333333</v>
      </c>
      <c r="O70">
        <f t="shared" si="2"/>
        <v>0.10333333333333306</v>
      </c>
      <c r="P70" s="2">
        <f>H70-H66</f>
        <v>2.91622</v>
      </c>
      <c r="Q70" s="7">
        <f>IF(MONTH(A70) = 1, 1, 0)</f>
        <v>1</v>
      </c>
      <c r="R70">
        <f>IF(MONTH(A70) = 4, 1, 0)</f>
        <v>0</v>
      </c>
      <c r="S70">
        <f>IF(MONTH(A70) = 7, 1, 0)</f>
        <v>0</v>
      </c>
      <c r="T70">
        <f>IF(MONTH(A70) = 10, 1, 0)</f>
        <v>0</v>
      </c>
      <c r="U70" s="2">
        <v>4.4103199999999996</v>
      </c>
    </row>
    <row r="71" spans="1:21" x14ac:dyDescent="0.15">
      <c r="A71" s="11">
        <v>36617</v>
      </c>
      <c r="B71" s="2">
        <v>0.63114999999999999</v>
      </c>
      <c r="C71" s="2">
        <v>1.79348</v>
      </c>
      <c r="D71" s="2">
        <v>0.46100999999999998</v>
      </c>
      <c r="E71" s="2">
        <v>1.4152800000000001</v>
      </c>
      <c r="F71" s="2">
        <v>-33.333329999999997</v>
      </c>
      <c r="G71" s="2">
        <v>3.9333333333333331</v>
      </c>
      <c r="H71" s="2">
        <v>3.3619999999999997E-2</v>
      </c>
      <c r="I71" s="8">
        <v>571.40700000000004</v>
      </c>
      <c r="J71">
        <v>3.4111668333333324E-2</v>
      </c>
      <c r="K71">
        <v>3.2589821999999997E-2</v>
      </c>
      <c r="L71">
        <f t="shared" si="3"/>
        <v>3.4111668333333323</v>
      </c>
      <c r="M71">
        <f t="shared" si="4"/>
        <v>3.2589821999999997</v>
      </c>
      <c r="N71">
        <v>3.8800000000000003</v>
      </c>
      <c r="O71">
        <f t="shared" ref="O71:O134" si="5">N71-N67</f>
        <v>3.3333333333334103E-2</v>
      </c>
      <c r="P71" s="2">
        <f>H71-H67</f>
        <v>-1.57222</v>
      </c>
      <c r="Q71" s="7">
        <f>IF(MONTH(A71) = 1, 1, 0)</f>
        <v>0</v>
      </c>
      <c r="R71">
        <f>IF(MONTH(A71) = 4, 1, 0)</f>
        <v>1</v>
      </c>
      <c r="S71">
        <f>IF(MONTH(A71) = 7, 1, 0)</f>
        <v>0</v>
      </c>
      <c r="T71">
        <f>IF(MONTH(A71) = 10, 1, 0)</f>
        <v>0</v>
      </c>
      <c r="U71" s="2">
        <v>4.0721699999999998</v>
      </c>
    </row>
    <row r="72" spans="1:21" x14ac:dyDescent="0.15">
      <c r="A72" s="11">
        <v>36708</v>
      </c>
      <c r="B72" s="2">
        <v>0.66408</v>
      </c>
      <c r="C72" s="2">
        <v>4.0309699999999999</v>
      </c>
      <c r="D72" s="2">
        <v>0.89785000000000004</v>
      </c>
      <c r="E72" s="2">
        <v>1.61008</v>
      </c>
      <c r="F72" s="2">
        <v>35.714289999999998</v>
      </c>
      <c r="G72" s="2">
        <v>4</v>
      </c>
      <c r="H72" s="2">
        <v>1.5798300000000001</v>
      </c>
      <c r="I72" s="8">
        <v>474.286</v>
      </c>
      <c r="J72">
        <v>3.1279634666666667E-2</v>
      </c>
      <c r="K72">
        <v>3.0476560666666666E-2</v>
      </c>
      <c r="L72">
        <f t="shared" si="3"/>
        <v>3.1279634666666665</v>
      </c>
      <c r="M72">
        <f t="shared" si="4"/>
        <v>3.0476560666666668</v>
      </c>
      <c r="N72">
        <v>3.7166666666666668</v>
      </c>
      <c r="O72">
        <f t="shared" si="5"/>
        <v>-7.3333333333333695E-2</v>
      </c>
      <c r="P72" s="2">
        <f>H72-H68</f>
        <v>-0.57533999999999996</v>
      </c>
      <c r="Q72" s="7">
        <f>IF(MONTH(A72) = 1, 1, 0)</f>
        <v>0</v>
      </c>
      <c r="R72">
        <f>IF(MONTH(A72) = 4, 1, 0)</f>
        <v>0</v>
      </c>
      <c r="S72">
        <f>IF(MONTH(A72) = 7, 1, 0)</f>
        <v>1</v>
      </c>
      <c r="T72">
        <f>IF(MONTH(A72) = 10, 1, 0)</f>
        <v>0</v>
      </c>
      <c r="U72" s="2">
        <v>-0.38634000000000002</v>
      </c>
    </row>
    <row r="73" spans="1:21" x14ac:dyDescent="0.15">
      <c r="A73" s="11">
        <v>36800</v>
      </c>
      <c r="B73" s="2">
        <v>0.60472999999999999</v>
      </c>
      <c r="C73" s="2">
        <v>3.6438299999999999</v>
      </c>
      <c r="D73" s="2">
        <v>0.45482</v>
      </c>
      <c r="E73" s="2">
        <v>1.44624</v>
      </c>
      <c r="F73" s="2">
        <v>5.2631600000000001</v>
      </c>
      <c r="G73" s="2">
        <v>3.9</v>
      </c>
      <c r="H73" s="2">
        <v>0.23163</v>
      </c>
      <c r="I73" s="8">
        <v>375.101</v>
      </c>
      <c r="J73">
        <v>3.1241631000000002E-2</v>
      </c>
      <c r="K73">
        <v>2.9310508333333332E-2</v>
      </c>
      <c r="L73">
        <f t="shared" si="3"/>
        <v>3.1241631000000001</v>
      </c>
      <c r="M73">
        <f t="shared" si="4"/>
        <v>2.9310508333333334</v>
      </c>
      <c r="N73">
        <v>3.6033333333333331</v>
      </c>
      <c r="O73">
        <f t="shared" si="5"/>
        <v>-0.27000000000000046</v>
      </c>
      <c r="P73" s="2">
        <f>H73-H69</f>
        <v>-1.7725900000000001</v>
      </c>
      <c r="Q73" s="7">
        <f>IF(MONTH(A73) = 1, 1, 0)</f>
        <v>0</v>
      </c>
      <c r="R73">
        <f>IF(MONTH(A73) = 4, 1, 0)</f>
        <v>0</v>
      </c>
      <c r="S73">
        <f>IF(MONTH(A73) = 7, 1, 0)</f>
        <v>0</v>
      </c>
      <c r="T73">
        <f>IF(MONTH(A73) = 10, 1, 0)</f>
        <v>1</v>
      </c>
      <c r="U73" s="2">
        <v>0.92164000000000001</v>
      </c>
    </row>
    <row r="74" spans="1:21" x14ac:dyDescent="0.15">
      <c r="A74" s="11">
        <v>36892</v>
      </c>
      <c r="B74" s="2">
        <v>0.72860000000000003</v>
      </c>
      <c r="C74" s="2">
        <v>8.7645499999999998</v>
      </c>
      <c r="D74" s="2">
        <v>1.1614199999999999</v>
      </c>
      <c r="E74" s="2">
        <v>1.1086100000000001</v>
      </c>
      <c r="F74" s="2">
        <v>30</v>
      </c>
      <c r="G74" s="2">
        <v>4.2333333333333334</v>
      </c>
      <c r="H74" s="2">
        <v>-1.3866000000000001</v>
      </c>
      <c r="I74" s="8">
        <v>318.06700000000001</v>
      </c>
      <c r="J74">
        <v>2.4760114E-2</v>
      </c>
      <c r="K74">
        <v>2.5579322333333331E-2</v>
      </c>
      <c r="L74">
        <f t="shared" si="3"/>
        <v>2.4760114</v>
      </c>
      <c r="M74">
        <f t="shared" si="4"/>
        <v>2.5579322333333332</v>
      </c>
      <c r="N74">
        <v>1.3257450316354198</v>
      </c>
      <c r="O74">
        <f t="shared" si="5"/>
        <v>-2.757588301697913</v>
      </c>
      <c r="P74" s="2">
        <f>H74-H70</f>
        <v>-3.9029700000000003</v>
      </c>
      <c r="Q74" s="7">
        <f>IF(MONTH(A74) = 1, 1, 0)</f>
        <v>1</v>
      </c>
      <c r="R74">
        <f>IF(MONTH(A74) = 4, 1, 0)</f>
        <v>0</v>
      </c>
      <c r="S74">
        <f>IF(MONTH(A74) = 7, 1, 0)</f>
        <v>0</v>
      </c>
      <c r="T74">
        <f>IF(MONTH(A74) = 10, 1, 0)</f>
        <v>0</v>
      </c>
      <c r="U74" s="2">
        <v>1.4056999999999999</v>
      </c>
    </row>
    <row r="75" spans="1:21" x14ac:dyDescent="0.15">
      <c r="A75" s="11">
        <v>36982</v>
      </c>
      <c r="B75" s="2">
        <v>0.61482999999999999</v>
      </c>
      <c r="C75" s="2">
        <v>-0.61460999999999999</v>
      </c>
      <c r="D75" s="2">
        <v>0.68106999999999995</v>
      </c>
      <c r="E75" s="2">
        <v>0.67093000000000003</v>
      </c>
      <c r="F75" s="2">
        <v>-42.307690000000001</v>
      </c>
      <c r="G75" s="2">
        <v>4.4000000000000004</v>
      </c>
      <c r="H75" s="2">
        <v>-1.7743599999999999</v>
      </c>
      <c r="I75" s="8">
        <v>207.03800000000001</v>
      </c>
      <c r="J75">
        <v>2.6780914999999999E-2</v>
      </c>
      <c r="K75">
        <v>2.7313428333333334E-2</v>
      </c>
      <c r="L75">
        <f t="shared" si="3"/>
        <v>2.6780914999999998</v>
      </c>
      <c r="M75">
        <f t="shared" si="4"/>
        <v>2.7313428333333336</v>
      </c>
      <c r="N75">
        <v>1.3517296193808708</v>
      </c>
      <c r="O75">
        <f t="shared" si="5"/>
        <v>-2.5282703806191296</v>
      </c>
      <c r="P75" s="2">
        <f>H75-H71</f>
        <v>-1.8079799999999999</v>
      </c>
      <c r="Q75" s="7">
        <f>IF(MONTH(A75) = 1, 1, 0)</f>
        <v>0</v>
      </c>
      <c r="R75">
        <f>IF(MONTH(A75) = 4, 1, 0)</f>
        <v>1</v>
      </c>
      <c r="S75">
        <f>IF(MONTH(A75) = 7, 1, 0)</f>
        <v>0</v>
      </c>
      <c r="T75">
        <f>IF(MONTH(A75) = 10, 1, 0)</f>
        <v>0</v>
      </c>
      <c r="U75" s="2">
        <v>-0.61436999999999997</v>
      </c>
    </row>
    <row r="76" spans="1:21" x14ac:dyDescent="0.15">
      <c r="A76" s="11">
        <v>37073</v>
      </c>
      <c r="B76" s="2">
        <v>0.68296000000000001</v>
      </c>
      <c r="C76" s="2">
        <v>-2.6568900000000002</v>
      </c>
      <c r="D76" s="2">
        <v>0.79242000000000001</v>
      </c>
      <c r="E76" s="2">
        <v>0.39901999999999999</v>
      </c>
      <c r="F76" s="2">
        <v>-33.333329999999997</v>
      </c>
      <c r="G76" s="2">
        <v>4.833333333333333</v>
      </c>
      <c r="H76" s="2">
        <v>-1.84049</v>
      </c>
      <c r="I76" s="8">
        <v>123.018</v>
      </c>
      <c r="J76">
        <v>2.796341166666667E-2</v>
      </c>
      <c r="K76">
        <v>2.7474822999999999E-2</v>
      </c>
      <c r="L76">
        <f t="shared" si="3"/>
        <v>2.7963411666666671</v>
      </c>
      <c r="M76">
        <f t="shared" si="4"/>
        <v>2.7474822999999997</v>
      </c>
      <c r="N76">
        <v>1.6089790805953577</v>
      </c>
      <c r="O76">
        <f t="shared" si="5"/>
        <v>-2.1076875860713091</v>
      </c>
      <c r="P76" s="2">
        <f>H76-H72</f>
        <v>-3.4203200000000002</v>
      </c>
      <c r="Q76" s="7">
        <f>IF(MONTH(A76) = 1, 1, 0)</f>
        <v>0</v>
      </c>
      <c r="R76">
        <f>IF(MONTH(A76) = 4, 1, 0)</f>
        <v>0</v>
      </c>
      <c r="S76">
        <f>IF(MONTH(A76) = 7, 1, 0)</f>
        <v>1</v>
      </c>
      <c r="T76">
        <f>IF(MONTH(A76) = 10, 1, 0)</f>
        <v>0</v>
      </c>
      <c r="U76" s="2">
        <v>4.3197999999999999</v>
      </c>
    </row>
    <row r="77" spans="1:21" x14ac:dyDescent="0.15">
      <c r="A77" s="11">
        <v>37165</v>
      </c>
      <c r="B77" s="2">
        <v>0.66047999999999996</v>
      </c>
      <c r="C77" s="2">
        <v>-4.0941200000000002</v>
      </c>
      <c r="D77" s="2">
        <v>0.51773999999999998</v>
      </c>
      <c r="E77" s="2">
        <v>1.6543300000000001</v>
      </c>
      <c r="F77" s="2">
        <v>90</v>
      </c>
      <c r="G77" s="2">
        <v>5.5</v>
      </c>
      <c r="H77" s="2">
        <v>-3.6805599999999998</v>
      </c>
      <c r="I77" s="8">
        <v>69.350999999999999</v>
      </c>
      <c r="J77">
        <v>2.3680020333333333E-2</v>
      </c>
      <c r="K77">
        <v>2.5212699666666668E-2</v>
      </c>
      <c r="L77">
        <f t="shared" si="3"/>
        <v>2.3680020333333331</v>
      </c>
      <c r="M77">
        <f t="shared" si="4"/>
        <v>2.5212699666666669</v>
      </c>
      <c r="N77">
        <v>2.2085304766563558</v>
      </c>
      <c r="O77">
        <f t="shared" si="5"/>
        <v>-1.3948028566769772</v>
      </c>
      <c r="P77" s="2">
        <f>H77-H73</f>
        <v>-3.9121899999999998</v>
      </c>
      <c r="Q77" s="7">
        <f>IF(MONTH(A77) = 1, 1, 0)</f>
        <v>0</v>
      </c>
      <c r="R77">
        <f>IF(MONTH(A77) = 4, 1, 0)</f>
        <v>0</v>
      </c>
      <c r="S77">
        <f>IF(MONTH(A77) = 7, 1, 0)</f>
        <v>0</v>
      </c>
      <c r="T77">
        <f>IF(MONTH(A77) = 10, 1, 0)</f>
        <v>1</v>
      </c>
      <c r="U77" s="2">
        <v>0.39272000000000001</v>
      </c>
    </row>
    <row r="78" spans="1:21" x14ac:dyDescent="0.15">
      <c r="A78" s="11">
        <v>37257</v>
      </c>
      <c r="B78" s="2">
        <v>0.54974000000000001</v>
      </c>
      <c r="C78" s="2">
        <v>-1.1530899999999999</v>
      </c>
      <c r="D78" s="2">
        <v>0.68676000000000004</v>
      </c>
      <c r="E78" s="2">
        <v>0.42342999999999997</v>
      </c>
      <c r="F78" s="2">
        <v>-36.842109999999998</v>
      </c>
      <c r="G78" s="2">
        <v>5.7</v>
      </c>
      <c r="H78" s="2">
        <v>-0.50468999999999997</v>
      </c>
      <c r="I78" s="8">
        <v>168.62799999999999</v>
      </c>
      <c r="J78">
        <v>2.1499735333333336E-2</v>
      </c>
      <c r="K78">
        <v>2.7356563E-2</v>
      </c>
      <c r="L78">
        <f t="shared" si="3"/>
        <v>2.1499735333333336</v>
      </c>
      <c r="M78">
        <f t="shared" si="4"/>
        <v>2.7356563</v>
      </c>
      <c r="N78">
        <v>2.5298899896304969</v>
      </c>
      <c r="O78">
        <f t="shared" si="5"/>
        <v>1.2041449579950771</v>
      </c>
      <c r="P78" s="2">
        <f>H78-H74</f>
        <v>0.88191000000000008</v>
      </c>
      <c r="Q78" s="7">
        <f>IF(MONTH(A78) = 1, 1, 0)</f>
        <v>1</v>
      </c>
      <c r="R78">
        <f>IF(MONTH(A78) = 4, 1, 0)</f>
        <v>0</v>
      </c>
      <c r="S78">
        <f>IF(MONTH(A78) = 7, 1, 0)</f>
        <v>0</v>
      </c>
      <c r="T78">
        <f>IF(MONTH(A78) = 10, 1, 0)</f>
        <v>0</v>
      </c>
      <c r="U78" s="2">
        <v>-8.1620600000000003</v>
      </c>
    </row>
    <row r="79" spans="1:21" x14ac:dyDescent="0.15">
      <c r="A79" s="11">
        <v>37347</v>
      </c>
      <c r="B79" s="2">
        <v>0.51146000000000003</v>
      </c>
      <c r="C79" s="2">
        <v>-0.14892</v>
      </c>
      <c r="D79" s="2">
        <v>0</v>
      </c>
      <c r="E79" s="2">
        <v>1.2501599999999999</v>
      </c>
      <c r="F79" s="2">
        <v>83.333330000000004</v>
      </c>
      <c r="G79" s="2">
        <v>5.833333333333333</v>
      </c>
      <c r="H79" s="2">
        <v>2.4637699999999998</v>
      </c>
      <c r="I79" s="8">
        <v>145.77600000000001</v>
      </c>
      <c r="J79">
        <v>2.5161368666666666E-2</v>
      </c>
      <c r="K79">
        <v>2.8250629999999999E-2</v>
      </c>
      <c r="L79">
        <f t="shared" si="3"/>
        <v>2.5161368666666668</v>
      </c>
      <c r="M79">
        <f t="shared" si="4"/>
        <v>2.8250630000000001</v>
      </c>
      <c r="N79">
        <v>2.3189537512979235</v>
      </c>
      <c r="O79">
        <f t="shared" si="5"/>
        <v>0.9672241319170527</v>
      </c>
      <c r="P79" s="2">
        <f>H79-H75</f>
        <v>4.23813</v>
      </c>
      <c r="Q79" s="7">
        <f>IF(MONTH(A79) = 1, 1, 0)</f>
        <v>0</v>
      </c>
      <c r="R79">
        <f>IF(MONTH(A79) = 4, 1, 0)</f>
        <v>1</v>
      </c>
      <c r="S79">
        <f>IF(MONTH(A79) = 7, 1, 0)</f>
        <v>0</v>
      </c>
      <c r="T79">
        <f>IF(MONTH(A79) = 10, 1, 0)</f>
        <v>0</v>
      </c>
      <c r="U79" s="2">
        <v>-5.85642</v>
      </c>
    </row>
    <row r="80" spans="1:21" x14ac:dyDescent="0.15">
      <c r="A80" s="11">
        <v>37438</v>
      </c>
      <c r="B80" s="2">
        <v>0.52641000000000004</v>
      </c>
      <c r="C80" s="2">
        <v>-0.32313999999999998</v>
      </c>
      <c r="D80" s="2">
        <v>0.11368</v>
      </c>
      <c r="E80" s="2">
        <v>1.2201299999999999</v>
      </c>
      <c r="F80" s="2">
        <v>-4.5454499999999998</v>
      </c>
      <c r="G80" s="2">
        <v>5.7333333333333334</v>
      </c>
      <c r="H80" s="2">
        <v>0.70721000000000001</v>
      </c>
      <c r="I80" s="8">
        <v>242.75</v>
      </c>
      <c r="J80">
        <v>2.1735607666666667E-2</v>
      </c>
      <c r="K80">
        <v>2.4191783999999997E-2</v>
      </c>
      <c r="L80">
        <f t="shared" si="3"/>
        <v>2.1735607666666668</v>
      </c>
      <c r="M80">
        <f t="shared" si="4"/>
        <v>2.4191783999999998</v>
      </c>
      <c r="N80">
        <v>2.3436095718820211</v>
      </c>
      <c r="O80">
        <f t="shared" si="5"/>
        <v>0.73463049128666347</v>
      </c>
      <c r="P80" s="2">
        <f>H80-H76</f>
        <v>2.5476999999999999</v>
      </c>
      <c r="Q80" s="7">
        <f>IF(MONTH(A80) = 1, 1, 0)</f>
        <v>0</v>
      </c>
      <c r="R80">
        <f>IF(MONTH(A80) = 4, 1, 0)</f>
        <v>0</v>
      </c>
      <c r="S80">
        <f>IF(MONTH(A80) = 7, 1, 0)</f>
        <v>1</v>
      </c>
      <c r="T80">
        <f>IF(MONTH(A80) = 10, 1, 0)</f>
        <v>0</v>
      </c>
      <c r="U80" s="2">
        <v>-1.0377400000000001</v>
      </c>
    </row>
    <row r="81" spans="1:21" x14ac:dyDescent="0.15">
      <c r="A81" s="11">
        <v>37530</v>
      </c>
      <c r="B81" s="2">
        <v>0.45383000000000001</v>
      </c>
      <c r="C81" s="2">
        <v>1.4962599999999999</v>
      </c>
      <c r="D81" s="2">
        <v>0.41635</v>
      </c>
      <c r="E81" s="2">
        <v>1.0251699999999999</v>
      </c>
      <c r="F81" s="2">
        <v>-33.333329999999997</v>
      </c>
      <c r="G81" s="2">
        <v>5.8666666666666671</v>
      </c>
      <c r="H81" s="2">
        <v>0.17555999999999999</v>
      </c>
      <c r="I81" s="8">
        <v>252.196</v>
      </c>
      <c r="J81">
        <v>1.9956968000000002E-2</v>
      </c>
      <c r="K81">
        <v>2.2136470000000002E-2</v>
      </c>
      <c r="L81">
        <f t="shared" si="3"/>
        <v>1.9956968000000002</v>
      </c>
      <c r="M81">
        <f t="shared" si="4"/>
        <v>2.2136470000000004</v>
      </c>
      <c r="N81">
        <v>2.6176017015345501</v>
      </c>
      <c r="O81">
        <f t="shared" si="5"/>
        <v>0.40907122487819425</v>
      </c>
      <c r="P81" s="2">
        <f>H81-H77</f>
        <v>3.8561199999999998</v>
      </c>
      <c r="Q81" s="7">
        <f>IF(MONTH(A81) = 1, 1, 0)</f>
        <v>0</v>
      </c>
      <c r="R81">
        <f>IF(MONTH(A81) = 4, 1, 0)</f>
        <v>0</v>
      </c>
      <c r="S81">
        <f>IF(MONTH(A81) = 7, 1, 0)</f>
        <v>0</v>
      </c>
      <c r="T81">
        <f>IF(MONTH(A81) = 10, 1, 0)</f>
        <v>1</v>
      </c>
      <c r="U81" s="2">
        <v>1.484</v>
      </c>
    </row>
    <row r="82" spans="1:21" x14ac:dyDescent="0.15">
      <c r="A82" s="11">
        <v>37622</v>
      </c>
      <c r="B82" s="2">
        <v>0.33015</v>
      </c>
      <c r="C82" s="2">
        <v>4.1031899999999997</v>
      </c>
      <c r="D82" s="2">
        <v>0.71616999999999997</v>
      </c>
      <c r="E82" s="2">
        <v>1.2601</v>
      </c>
      <c r="F82" s="2">
        <v>-14.28571</v>
      </c>
      <c r="G82" s="2">
        <v>5.8666666666666671</v>
      </c>
      <c r="H82" s="2">
        <v>3.2246800000000002</v>
      </c>
      <c r="I82" s="8">
        <v>229.92400000000001</v>
      </c>
      <c r="J82">
        <v>2.0296309666666668E-2</v>
      </c>
      <c r="K82">
        <v>2.1892966333333333E-2</v>
      </c>
      <c r="L82">
        <f t="shared" si="3"/>
        <v>2.0296309666666668</v>
      </c>
      <c r="M82">
        <f t="shared" si="4"/>
        <v>2.1892966333333335</v>
      </c>
      <c r="N82">
        <v>2.9073872293275209</v>
      </c>
      <c r="O82">
        <f t="shared" si="5"/>
        <v>0.37749723969702398</v>
      </c>
      <c r="P82" s="2">
        <f>H82-H78</f>
        <v>3.7293700000000003</v>
      </c>
      <c r="Q82" s="7">
        <f>IF(MONTH(A82) = 1, 1, 0)</f>
        <v>1</v>
      </c>
      <c r="R82">
        <f>IF(MONTH(A82) = 4, 1, 0)</f>
        <v>0</v>
      </c>
      <c r="S82">
        <f>IF(MONTH(A82) = 7, 1, 0)</f>
        <v>0</v>
      </c>
      <c r="T82">
        <f>IF(MONTH(A82) = 10, 1, 0)</f>
        <v>0</v>
      </c>
      <c r="U82" s="2">
        <v>4.8626399999999999</v>
      </c>
    </row>
    <row r="83" spans="1:21" x14ac:dyDescent="0.15">
      <c r="A83" s="11">
        <v>37712</v>
      </c>
      <c r="B83" s="2">
        <v>0.17319000000000001</v>
      </c>
      <c r="C83" s="2">
        <v>3.6818499999999998</v>
      </c>
      <c r="D83" s="2">
        <v>0.4491</v>
      </c>
      <c r="E83" s="2">
        <v>1.2466200000000001</v>
      </c>
      <c r="F83" s="2">
        <v>25</v>
      </c>
      <c r="G83" s="2">
        <v>6.1333333333333329</v>
      </c>
      <c r="H83" s="2">
        <v>-2.3769100000000001</v>
      </c>
      <c r="I83" s="8">
        <v>261.88799999999998</v>
      </c>
      <c r="J83">
        <v>2.0375916999999997E-2</v>
      </c>
      <c r="K83">
        <v>2.0708606666666667E-2</v>
      </c>
      <c r="L83">
        <f t="shared" si="3"/>
        <v>2.0375916999999997</v>
      </c>
      <c r="M83">
        <f t="shared" si="4"/>
        <v>2.0708606666666669</v>
      </c>
      <c r="N83">
        <v>2.6047011590112179</v>
      </c>
      <c r="O83">
        <f t="shared" si="5"/>
        <v>0.28574740771329443</v>
      </c>
      <c r="P83" s="2">
        <f>H83-H79</f>
        <v>-4.8406799999999999</v>
      </c>
      <c r="Q83" s="7">
        <f>IF(MONTH(A83) = 1, 1, 0)</f>
        <v>0</v>
      </c>
      <c r="R83">
        <f>IF(MONTH(A83) = 4, 1, 0)</f>
        <v>1</v>
      </c>
      <c r="S83">
        <f>IF(MONTH(A83) = 7, 1, 0)</f>
        <v>0</v>
      </c>
      <c r="T83">
        <f>IF(MONTH(A83) = 10, 1, 0)</f>
        <v>0</v>
      </c>
      <c r="U83" s="2">
        <v>0.60318000000000005</v>
      </c>
    </row>
    <row r="84" spans="1:21" x14ac:dyDescent="0.15">
      <c r="A84" s="11">
        <v>37803</v>
      </c>
      <c r="B84" s="2">
        <v>0.39765</v>
      </c>
      <c r="C84" s="2">
        <v>0.27316000000000001</v>
      </c>
      <c r="D84" s="2">
        <v>0.74516000000000004</v>
      </c>
      <c r="E84" s="2">
        <v>2.08141</v>
      </c>
      <c r="F84" s="2">
        <v>20</v>
      </c>
      <c r="G84" s="2">
        <v>6.1333333333333329</v>
      </c>
      <c r="H84" s="2">
        <v>0.73043000000000002</v>
      </c>
      <c r="I84" s="8">
        <v>433.41399999999999</v>
      </c>
      <c r="J84">
        <v>1.8198124E-2</v>
      </c>
      <c r="K84">
        <v>2.2198460999999999E-2</v>
      </c>
      <c r="L84">
        <f t="shared" si="3"/>
        <v>1.8198124</v>
      </c>
      <c r="M84">
        <f t="shared" si="4"/>
        <v>2.2198460999999998</v>
      </c>
      <c r="N84">
        <v>2.7526653523195459</v>
      </c>
      <c r="O84">
        <f t="shared" si="5"/>
        <v>0.40905578043752477</v>
      </c>
      <c r="P84" s="2">
        <f>H84-H80</f>
        <v>2.3220000000000018E-2</v>
      </c>
      <c r="Q84" s="7">
        <f>IF(MONTH(A84) = 1, 1, 0)</f>
        <v>0</v>
      </c>
      <c r="R84">
        <f>IF(MONTH(A84) = 4, 1, 0)</f>
        <v>0</v>
      </c>
      <c r="S84">
        <f>IF(MONTH(A84) = 7, 1, 0)</f>
        <v>1</v>
      </c>
      <c r="T84">
        <f>IF(MONTH(A84) = 10, 1, 0)</f>
        <v>0</v>
      </c>
      <c r="U84" s="2">
        <v>-2.89201</v>
      </c>
    </row>
    <row r="85" spans="1:21" x14ac:dyDescent="0.15">
      <c r="A85" s="11">
        <v>37895</v>
      </c>
      <c r="B85" s="2">
        <v>0.25830999999999998</v>
      </c>
      <c r="C85" s="2">
        <v>-0.65834000000000004</v>
      </c>
      <c r="D85" s="2">
        <v>1.27589</v>
      </c>
      <c r="E85" s="2">
        <v>1.1831499999999999</v>
      </c>
      <c r="F85" s="2">
        <v>0</v>
      </c>
      <c r="G85" s="2">
        <v>5.833333333333333</v>
      </c>
      <c r="H85" s="2">
        <v>0.3453</v>
      </c>
      <c r="I85" s="8">
        <v>552.68100000000004</v>
      </c>
      <c r="J85">
        <v>1.9809389333333333E-2</v>
      </c>
      <c r="K85">
        <v>2.2542806999999998E-2</v>
      </c>
      <c r="L85">
        <f t="shared" si="3"/>
        <v>1.9809389333333334</v>
      </c>
      <c r="M85">
        <f t="shared" si="4"/>
        <v>2.2542806999999998</v>
      </c>
      <c r="N85">
        <v>2.6237427442208072</v>
      </c>
      <c r="O85">
        <f t="shared" si="5"/>
        <v>6.1410426862571477E-3</v>
      </c>
      <c r="P85" s="2">
        <f>H85-H81</f>
        <v>0.16974</v>
      </c>
      <c r="Q85" s="7">
        <f>IF(MONTH(A85) = 1, 1, 0)</f>
        <v>0</v>
      </c>
      <c r="R85">
        <f>IF(MONTH(A85) = 4, 1, 0)</f>
        <v>0</v>
      </c>
      <c r="S85">
        <f>IF(MONTH(A85) = 7, 1, 0)</f>
        <v>0</v>
      </c>
      <c r="T85">
        <f>IF(MONTH(A85) = 10, 1, 0)</f>
        <v>1</v>
      </c>
      <c r="U85" s="2">
        <v>-3.48251</v>
      </c>
    </row>
    <row r="86" spans="1:21" x14ac:dyDescent="0.15">
      <c r="A86" s="11">
        <v>37987</v>
      </c>
      <c r="B86" s="2">
        <v>0.48093000000000002</v>
      </c>
      <c r="C86" s="2">
        <v>1.0968899999999999</v>
      </c>
      <c r="D86" s="2">
        <v>0.83987999999999996</v>
      </c>
      <c r="E86" s="2">
        <v>1.70974</v>
      </c>
      <c r="F86" s="2">
        <v>22.22222</v>
      </c>
      <c r="G86" s="2">
        <v>5.7</v>
      </c>
      <c r="H86" s="2">
        <v>2.75292</v>
      </c>
      <c r="I86" s="8">
        <v>572.94100000000003</v>
      </c>
      <c r="J86">
        <v>1.8661496999999999E-2</v>
      </c>
      <c r="K86">
        <v>2.2546310333333333E-2</v>
      </c>
      <c r="L86">
        <f t="shared" si="3"/>
        <v>1.8661496999999998</v>
      </c>
      <c r="M86">
        <f t="shared" si="4"/>
        <v>2.2546310333333333</v>
      </c>
      <c r="N86">
        <v>2.6032336871634048</v>
      </c>
      <c r="O86">
        <f t="shared" si="5"/>
        <v>-0.30415354216411616</v>
      </c>
      <c r="P86" s="2">
        <f>H86-H82</f>
        <v>-0.47176000000000018</v>
      </c>
      <c r="Q86" s="7">
        <f>IF(MONTH(A86) = 1, 1, 0)</f>
        <v>1</v>
      </c>
      <c r="R86">
        <f>IF(MONTH(A86) = 4, 1, 0)</f>
        <v>0</v>
      </c>
      <c r="S86">
        <f>IF(MONTH(A86) = 7, 1, 0)</f>
        <v>0</v>
      </c>
      <c r="T86">
        <f>IF(MONTH(A86) = 10, 1, 0)</f>
        <v>0</v>
      </c>
      <c r="U86" s="2">
        <v>-1.99254</v>
      </c>
    </row>
    <row r="87" spans="1:21" x14ac:dyDescent="0.15">
      <c r="A87" s="11">
        <v>38078</v>
      </c>
      <c r="B87" s="2">
        <v>0.63248000000000004</v>
      </c>
      <c r="C87" s="2">
        <v>0.85894999999999999</v>
      </c>
      <c r="D87" s="2">
        <v>0.83287999999999995</v>
      </c>
      <c r="E87" s="2">
        <v>1.2217199999999999</v>
      </c>
      <c r="F87" s="2">
        <v>4.5454499999999998</v>
      </c>
      <c r="G87" s="2">
        <v>5.6</v>
      </c>
      <c r="H87" s="2">
        <v>1.80844</v>
      </c>
      <c r="I87" s="8">
        <v>617.34500000000003</v>
      </c>
      <c r="J87">
        <v>2.2136490999999998E-2</v>
      </c>
      <c r="K87">
        <v>2.3900448000000001E-2</v>
      </c>
      <c r="L87">
        <f t="shared" si="3"/>
        <v>2.2136490999999996</v>
      </c>
      <c r="M87">
        <f t="shared" si="4"/>
        <v>2.3900448000000001</v>
      </c>
      <c r="N87">
        <v>2.222896676276557</v>
      </c>
      <c r="O87">
        <f t="shared" si="5"/>
        <v>-0.38180448273466094</v>
      </c>
      <c r="P87" s="2">
        <f>H87-H83</f>
        <v>4.1853499999999997</v>
      </c>
      <c r="Q87" s="7">
        <f>IF(MONTH(A87) = 1, 1, 0)</f>
        <v>0</v>
      </c>
      <c r="R87">
        <f>IF(MONTH(A87) = 4, 1, 0)</f>
        <v>1</v>
      </c>
      <c r="S87">
        <f>IF(MONTH(A87) = 7, 1, 0)</f>
        <v>0</v>
      </c>
      <c r="T87">
        <f>IF(MONTH(A87) = 10, 1, 0)</f>
        <v>0</v>
      </c>
      <c r="U87" s="2">
        <v>1.99244</v>
      </c>
    </row>
    <row r="88" spans="1:21" x14ac:dyDescent="0.15">
      <c r="A88" s="11">
        <v>38169</v>
      </c>
      <c r="B88" s="2">
        <v>0.42465999999999998</v>
      </c>
      <c r="C88" s="2">
        <v>2.2859699999999998</v>
      </c>
      <c r="D88" s="2">
        <v>0.61051999999999995</v>
      </c>
      <c r="E88" s="2">
        <v>1.6721699999999999</v>
      </c>
      <c r="F88" s="2">
        <v>-39.130429999999997</v>
      </c>
      <c r="G88" s="2">
        <v>5.4333333333333336</v>
      </c>
      <c r="H88" s="2">
        <v>1.9078900000000001</v>
      </c>
      <c r="I88" s="8">
        <v>546.88499999999999</v>
      </c>
      <c r="J88">
        <v>2.4244902000000002E-2</v>
      </c>
      <c r="K88">
        <v>2.4431247999999999E-2</v>
      </c>
      <c r="L88">
        <f t="shared" si="3"/>
        <v>2.4244902000000002</v>
      </c>
      <c r="M88">
        <f t="shared" si="4"/>
        <v>2.4431248000000001</v>
      </c>
      <c r="N88">
        <v>2.0712333629111277</v>
      </c>
      <c r="O88">
        <f t="shared" si="5"/>
        <v>-0.6814319894084182</v>
      </c>
      <c r="P88" s="2">
        <f>H88-H84</f>
        <v>1.17746</v>
      </c>
      <c r="Q88" s="7">
        <f>IF(MONTH(A88) = 1, 1, 0)</f>
        <v>0</v>
      </c>
      <c r="R88">
        <f>IF(MONTH(A88) = 4, 1, 0)</f>
        <v>0</v>
      </c>
      <c r="S88">
        <f>IF(MONTH(A88) = 7, 1, 0)</f>
        <v>1</v>
      </c>
      <c r="T88">
        <f>IF(MONTH(A88) = 10, 1, 0)</f>
        <v>0</v>
      </c>
      <c r="U88" s="2">
        <v>-0.41041</v>
      </c>
    </row>
    <row r="89" spans="1:21" x14ac:dyDescent="0.15">
      <c r="A89" s="11">
        <v>38261</v>
      </c>
      <c r="B89" s="2">
        <v>0.60892999999999997</v>
      </c>
      <c r="C89" s="2">
        <v>1.3803700000000001</v>
      </c>
      <c r="D89" s="2">
        <v>0.76744999999999997</v>
      </c>
      <c r="E89" s="2">
        <v>1.9959800000000001</v>
      </c>
      <c r="F89" s="2">
        <v>57.142859999999999</v>
      </c>
      <c r="G89" s="2">
        <v>5.4333333333333336</v>
      </c>
      <c r="H89" s="2">
        <v>1.7753399999999999</v>
      </c>
      <c r="I89" s="8">
        <v>574.65800000000002</v>
      </c>
      <c r="J89">
        <v>2.0350611666666667E-2</v>
      </c>
      <c r="K89">
        <v>2.3348616333333336E-2</v>
      </c>
      <c r="L89">
        <f t="shared" si="3"/>
        <v>2.0350611666666669</v>
      </c>
      <c r="M89">
        <f t="shared" si="4"/>
        <v>2.3348616333333334</v>
      </c>
      <c r="N89">
        <v>2.1478561518567001</v>
      </c>
      <c r="O89">
        <f t="shared" si="5"/>
        <v>-0.47588659236410713</v>
      </c>
      <c r="P89" s="2">
        <f>H89-H85</f>
        <v>1.43004</v>
      </c>
      <c r="Q89" s="7">
        <f>IF(MONTH(A89) = 1, 1, 0)</f>
        <v>0</v>
      </c>
      <c r="R89">
        <f>IF(MONTH(A89) = 4, 1, 0)</f>
        <v>0</v>
      </c>
      <c r="S89">
        <f>IF(MONTH(A89) = 7, 1, 0)</f>
        <v>0</v>
      </c>
      <c r="T89">
        <f>IF(MONTH(A89) = 10, 1, 0)</f>
        <v>1</v>
      </c>
      <c r="U89" s="2">
        <v>3.0922999999999998</v>
      </c>
    </row>
    <row r="90" spans="1:21" x14ac:dyDescent="0.15">
      <c r="A90" s="11">
        <v>38353</v>
      </c>
      <c r="B90" s="2">
        <v>0.62205999999999995</v>
      </c>
      <c r="C90" s="2">
        <v>0.92932999999999999</v>
      </c>
      <c r="D90" s="2">
        <v>0.42508000000000001</v>
      </c>
      <c r="E90" s="2">
        <v>1.2199199999999999</v>
      </c>
      <c r="F90" s="2">
        <v>31.818180000000002</v>
      </c>
      <c r="G90" s="2">
        <v>5.3</v>
      </c>
      <c r="H90" s="2">
        <v>0.82460999999999995</v>
      </c>
      <c r="I90" s="8">
        <v>688.35599999999999</v>
      </c>
      <c r="J90">
        <v>2.2039482333333332E-2</v>
      </c>
      <c r="K90">
        <v>2.4047694999999997E-2</v>
      </c>
      <c r="L90">
        <f t="shared" si="3"/>
        <v>2.2039482333333331</v>
      </c>
      <c r="M90">
        <f t="shared" si="4"/>
        <v>2.4047694999999996</v>
      </c>
      <c r="N90">
        <v>2.1587105124769419</v>
      </c>
      <c r="O90">
        <f t="shared" si="5"/>
        <v>-0.44452317468646285</v>
      </c>
      <c r="P90" s="2">
        <f>H90-H86</f>
        <v>-1.9283100000000002</v>
      </c>
      <c r="Q90" s="7">
        <f>IF(MONTH(A90) = 1, 1, 0)</f>
        <v>1</v>
      </c>
      <c r="R90">
        <f>IF(MONTH(A90) = 4, 1, 0)</f>
        <v>0</v>
      </c>
      <c r="S90">
        <f>IF(MONTH(A90) = 7, 1, 0)</f>
        <v>0</v>
      </c>
      <c r="T90">
        <f>IF(MONTH(A90) = 10, 1, 0)</f>
        <v>0</v>
      </c>
      <c r="U90" s="2">
        <v>1.6192</v>
      </c>
    </row>
    <row r="91" spans="1:21" x14ac:dyDescent="0.15">
      <c r="A91" s="11">
        <v>38443</v>
      </c>
      <c r="B91" s="2">
        <v>0.46783999999999998</v>
      </c>
      <c r="C91" s="2">
        <v>2.86938</v>
      </c>
      <c r="D91" s="2">
        <v>0.74073999999999995</v>
      </c>
      <c r="E91" s="2">
        <v>1.74701</v>
      </c>
      <c r="F91" s="2">
        <v>-31.034479999999999</v>
      </c>
      <c r="G91" s="2">
        <v>5.0999999999999996</v>
      </c>
      <c r="H91" s="2">
        <v>2.5165099999999998</v>
      </c>
      <c r="I91" s="8">
        <v>658.505</v>
      </c>
      <c r="J91">
        <v>2.4674190333333332E-2</v>
      </c>
      <c r="K91">
        <v>2.4067037333333336E-2</v>
      </c>
      <c r="L91">
        <f t="shared" si="3"/>
        <v>2.467419033333333</v>
      </c>
      <c r="M91">
        <f t="shared" si="4"/>
        <v>2.4067037333333334</v>
      </c>
      <c r="N91">
        <v>1.8127847739697793</v>
      </c>
      <c r="O91">
        <f t="shared" si="5"/>
        <v>-0.41011190230677763</v>
      </c>
      <c r="P91" s="2">
        <f>H91-H87</f>
        <v>0.70806999999999976</v>
      </c>
      <c r="Q91" s="7">
        <f>IF(MONTH(A91) = 1, 1, 0)</f>
        <v>0</v>
      </c>
      <c r="R91">
        <f>IF(MONTH(A91) = 4, 1, 0)</f>
        <v>1</v>
      </c>
      <c r="S91">
        <f>IF(MONTH(A91) = 7, 1, 0)</f>
        <v>0</v>
      </c>
      <c r="T91">
        <f>IF(MONTH(A91) = 10, 1, 0)</f>
        <v>0</v>
      </c>
      <c r="U91" s="2">
        <v>0.55157</v>
      </c>
    </row>
    <row r="92" spans="1:21" x14ac:dyDescent="0.15">
      <c r="A92" s="11">
        <v>38534</v>
      </c>
      <c r="B92" s="2">
        <v>0.33261000000000002</v>
      </c>
      <c r="C92" s="2">
        <v>4.2048300000000003</v>
      </c>
      <c r="D92" s="2">
        <v>0.33262999999999998</v>
      </c>
      <c r="E92" s="2">
        <v>1.9189099999999999</v>
      </c>
      <c r="F92" s="2">
        <v>-20</v>
      </c>
      <c r="G92" s="2">
        <v>4.9666666666666668</v>
      </c>
      <c r="H92" s="2">
        <v>3.4059499999999998</v>
      </c>
      <c r="I92" s="8">
        <v>692.76199999999994</v>
      </c>
      <c r="J92">
        <v>2.3831456666666667E-2</v>
      </c>
      <c r="K92">
        <v>2.3948087666666663E-2</v>
      </c>
      <c r="L92">
        <f t="shared" si="3"/>
        <v>2.3831456666666666</v>
      </c>
      <c r="M92">
        <f t="shared" si="4"/>
        <v>2.3948087666666664</v>
      </c>
      <c r="N92">
        <v>1.6973617661352318</v>
      </c>
      <c r="O92">
        <f t="shared" si="5"/>
        <v>-0.37387159677589588</v>
      </c>
      <c r="P92" s="2">
        <f>H92-H88</f>
        <v>1.4980599999999997</v>
      </c>
      <c r="Q92" s="7">
        <f>IF(MONTH(A92) = 1, 1, 0)</f>
        <v>0</v>
      </c>
      <c r="R92">
        <f>IF(MONTH(A92) = 4, 1, 0)</f>
        <v>0</v>
      </c>
      <c r="S92">
        <f>IF(MONTH(A92) = 7, 1, 0)</f>
        <v>1</v>
      </c>
      <c r="T92">
        <f>IF(MONTH(A92) = 10, 1, 0)</f>
        <v>0</v>
      </c>
      <c r="U92" s="2">
        <v>7.3505900000000004</v>
      </c>
    </row>
    <row r="93" spans="1:21" x14ac:dyDescent="0.15">
      <c r="A93" s="11">
        <v>38626</v>
      </c>
      <c r="B93" s="2">
        <v>0.66302000000000005</v>
      </c>
      <c r="C93" s="2">
        <v>9.8881300000000003</v>
      </c>
      <c r="D93" s="2">
        <v>0.75031000000000003</v>
      </c>
      <c r="E93" s="2">
        <v>0.98292000000000002</v>
      </c>
      <c r="F93" s="2">
        <v>68.75</v>
      </c>
      <c r="G93" s="2">
        <v>4.9666666666666668</v>
      </c>
      <c r="H93" s="2">
        <v>0.62314999999999998</v>
      </c>
      <c r="I93" s="8">
        <v>665.49099999999999</v>
      </c>
      <c r="J93">
        <v>3.0418845666666666E-2</v>
      </c>
      <c r="K93">
        <v>2.5651290999999996E-2</v>
      </c>
      <c r="L93">
        <f t="shared" si="3"/>
        <v>3.0418845666666665</v>
      </c>
      <c r="M93">
        <f t="shared" si="4"/>
        <v>2.5651290999999996</v>
      </c>
      <c r="N93">
        <v>1.7722095450660893</v>
      </c>
      <c r="O93">
        <f t="shared" si="5"/>
        <v>-0.37564660679061079</v>
      </c>
      <c r="P93" s="2">
        <f>H93-H89</f>
        <v>-1.15219</v>
      </c>
      <c r="Q93" s="7">
        <f>IF(MONTH(A93) = 1, 1, 0)</f>
        <v>0</v>
      </c>
      <c r="R93">
        <f>IF(MONTH(A93) = 4, 1, 0)</f>
        <v>0</v>
      </c>
      <c r="S93">
        <f>IF(MONTH(A93) = 7, 1, 0)</f>
        <v>0</v>
      </c>
      <c r="T93">
        <f>IF(MONTH(A93) = 10, 1, 0)</f>
        <v>1</v>
      </c>
      <c r="U93" s="2">
        <v>2.5703999999999998</v>
      </c>
    </row>
    <row r="94" spans="1:21" x14ac:dyDescent="0.15">
      <c r="A94" s="11">
        <v>38718</v>
      </c>
      <c r="B94" s="2">
        <v>0.62572000000000005</v>
      </c>
      <c r="C94" s="2">
        <v>1.4724600000000001</v>
      </c>
      <c r="D94" s="2">
        <v>0.81398999999999999</v>
      </c>
      <c r="E94" s="2">
        <v>1.6180399999999999</v>
      </c>
      <c r="F94" s="2">
        <v>-14.81481</v>
      </c>
      <c r="G94" s="2">
        <v>4.7333333333333334</v>
      </c>
      <c r="H94" s="2">
        <v>2.9489999999999999E-2</v>
      </c>
      <c r="I94" s="8">
        <v>695.43499999999995</v>
      </c>
      <c r="J94">
        <v>2.2265568333333333E-2</v>
      </c>
      <c r="K94">
        <v>2.4788541000000001E-2</v>
      </c>
      <c r="L94">
        <f t="shared" si="3"/>
        <v>2.2265568333333334</v>
      </c>
      <c r="M94">
        <f t="shared" si="4"/>
        <v>2.4788540999999999</v>
      </c>
      <c r="N94">
        <v>1.7150107952079872</v>
      </c>
      <c r="O94">
        <f t="shared" si="5"/>
        <v>-0.44369971726895474</v>
      </c>
      <c r="P94" s="2">
        <f>H94-H90</f>
        <v>-0.79511999999999994</v>
      </c>
      <c r="Q94" s="7">
        <f>IF(MONTH(A94) = 1, 1, 0)</f>
        <v>1</v>
      </c>
      <c r="R94">
        <f>IF(MONTH(A94) = 4, 1, 0)</f>
        <v>0</v>
      </c>
      <c r="S94">
        <f>IF(MONTH(A94) = 7, 1, 0)</f>
        <v>0</v>
      </c>
      <c r="T94">
        <f>IF(MONTH(A94) = 10, 1, 0)</f>
        <v>0</v>
      </c>
      <c r="U94" s="2">
        <v>-4.5785799999999997</v>
      </c>
    </row>
    <row r="95" spans="1:21" x14ac:dyDescent="0.15">
      <c r="A95" s="11">
        <v>38808</v>
      </c>
      <c r="B95" s="2">
        <v>0.81820000000000004</v>
      </c>
      <c r="C95" s="2">
        <v>-2.8842699999999999</v>
      </c>
      <c r="D95" s="2">
        <v>5.1540000000000002E-2</v>
      </c>
      <c r="E95" s="2">
        <v>1.40107</v>
      </c>
      <c r="F95" s="2">
        <v>39.130429999999997</v>
      </c>
      <c r="G95" s="2">
        <v>4.6333333333333329</v>
      </c>
      <c r="H95" s="2">
        <v>3.0660400000000001</v>
      </c>
      <c r="I95" s="8">
        <v>685.44100000000003</v>
      </c>
      <c r="J95">
        <v>2.7702709666666669E-2</v>
      </c>
      <c r="K95">
        <v>2.6517205000000002E-2</v>
      </c>
      <c r="L95">
        <f t="shared" si="3"/>
        <v>2.7702709666666667</v>
      </c>
      <c r="M95">
        <f t="shared" si="4"/>
        <v>2.6517205000000001</v>
      </c>
      <c r="N95">
        <v>1.4579827360581781</v>
      </c>
      <c r="O95">
        <f t="shared" si="5"/>
        <v>-0.35480203791160125</v>
      </c>
      <c r="P95" s="2">
        <f>H95-H91</f>
        <v>0.5495300000000003</v>
      </c>
      <c r="Q95" s="7">
        <f>IF(MONTH(A95) = 1, 1, 0)</f>
        <v>0</v>
      </c>
      <c r="R95">
        <f>IF(MONTH(A95) = 4, 1, 0)</f>
        <v>1</v>
      </c>
      <c r="S95">
        <f>IF(MONTH(A95) = 7, 1, 0)</f>
        <v>0</v>
      </c>
      <c r="T95">
        <f>IF(MONTH(A95) = 10, 1, 0)</f>
        <v>0</v>
      </c>
      <c r="U95" s="2">
        <v>-2.5345200000000001</v>
      </c>
    </row>
    <row r="96" spans="1:21" x14ac:dyDescent="0.15">
      <c r="A96" s="11">
        <v>38899</v>
      </c>
      <c r="B96" s="2">
        <v>0.68171000000000004</v>
      </c>
      <c r="C96" s="2">
        <v>0.36893999999999999</v>
      </c>
      <c r="D96" s="2">
        <v>0.73831999999999998</v>
      </c>
      <c r="E96" s="2">
        <v>1.3669</v>
      </c>
      <c r="F96" s="2">
        <v>-31.25</v>
      </c>
      <c r="G96" s="2">
        <v>4.6333333333333329</v>
      </c>
      <c r="H96" s="2">
        <v>1.0297499999999999</v>
      </c>
      <c r="I96" s="8">
        <v>567.61</v>
      </c>
      <c r="J96">
        <v>2.7729631000000005E-2</v>
      </c>
      <c r="K96">
        <v>2.6196023666666665E-2</v>
      </c>
      <c r="L96">
        <f t="shared" si="3"/>
        <v>2.7729631000000006</v>
      </c>
      <c r="M96">
        <f t="shared" si="4"/>
        <v>2.6196023666666663</v>
      </c>
      <c r="N96">
        <v>1.4881903812692727</v>
      </c>
      <c r="O96">
        <f t="shared" si="5"/>
        <v>-0.2091713848659591</v>
      </c>
      <c r="P96" s="2">
        <f>H96-H92</f>
        <v>-2.3761999999999999</v>
      </c>
      <c r="Q96" s="7">
        <f>IF(MONTH(A96) = 1, 1, 0)</f>
        <v>0</v>
      </c>
      <c r="R96">
        <f>IF(MONTH(A96) = 4, 1, 0)</f>
        <v>0</v>
      </c>
      <c r="S96">
        <f>IF(MONTH(A96) = 7, 1, 0)</f>
        <v>1</v>
      </c>
      <c r="T96">
        <f>IF(MONTH(A96) = 10, 1, 0)</f>
        <v>0</v>
      </c>
      <c r="U96" s="2">
        <v>0.24426999999999999</v>
      </c>
    </row>
    <row r="97" spans="1:21" x14ac:dyDescent="0.15">
      <c r="A97" s="11">
        <v>38991</v>
      </c>
      <c r="B97" s="2">
        <v>0.51588000000000001</v>
      </c>
      <c r="C97" s="2">
        <v>-0.64326000000000005</v>
      </c>
      <c r="D97" s="2">
        <v>0.71587000000000001</v>
      </c>
      <c r="E97" s="2">
        <v>0.78649000000000002</v>
      </c>
      <c r="F97" s="2">
        <v>-22.727270000000001</v>
      </c>
      <c r="G97" s="2">
        <v>4.4333333333333336</v>
      </c>
      <c r="H97" s="2">
        <v>-3.1143800000000001</v>
      </c>
      <c r="I97" s="8">
        <v>538.53</v>
      </c>
      <c r="J97">
        <v>2.0930832666666666E-2</v>
      </c>
      <c r="K97">
        <v>2.4038425666666668E-2</v>
      </c>
      <c r="L97">
        <f t="shared" si="3"/>
        <v>2.0930832666666666</v>
      </c>
      <c r="M97">
        <f t="shared" si="4"/>
        <v>2.403842566666667</v>
      </c>
      <c r="N97">
        <v>1.4791998629338172</v>
      </c>
      <c r="O97">
        <f t="shared" si="5"/>
        <v>-0.29300968213227208</v>
      </c>
      <c r="P97" s="2">
        <f>H97-H93</f>
        <v>-3.73753</v>
      </c>
      <c r="Q97" s="7">
        <f>IF(MONTH(A97) = 1, 1, 0)</f>
        <v>0</v>
      </c>
      <c r="R97">
        <f>IF(MONTH(A97) = 4, 1, 0)</f>
        <v>0</v>
      </c>
      <c r="S97">
        <f>IF(MONTH(A97) = 7, 1, 0)</f>
        <v>0</v>
      </c>
      <c r="T97">
        <f>IF(MONTH(A97) = 10, 1, 0)</f>
        <v>1</v>
      </c>
      <c r="U97" s="2">
        <v>-0.83025000000000004</v>
      </c>
    </row>
    <row r="98" spans="1:21" x14ac:dyDescent="0.15">
      <c r="A98" s="11">
        <v>39083</v>
      </c>
      <c r="B98" s="2">
        <v>0.58589000000000002</v>
      </c>
      <c r="C98" s="2">
        <v>2.3575699999999999</v>
      </c>
      <c r="D98" s="2">
        <v>1.4071800000000001</v>
      </c>
      <c r="E98" s="2">
        <v>1.5356000000000001</v>
      </c>
      <c r="F98" s="2">
        <v>64.705879999999993</v>
      </c>
      <c r="G98" s="2">
        <v>4.5</v>
      </c>
      <c r="H98" s="2">
        <v>0.43834000000000001</v>
      </c>
      <c r="I98" s="8">
        <v>409.92700000000002</v>
      </c>
      <c r="J98">
        <v>2.7070377666666669E-2</v>
      </c>
      <c r="K98">
        <v>2.5214612333333331E-2</v>
      </c>
      <c r="L98">
        <f t="shared" si="3"/>
        <v>2.7070377666666667</v>
      </c>
      <c r="M98">
        <f t="shared" si="4"/>
        <v>2.5214612333333331</v>
      </c>
      <c r="N98">
        <v>1.5577013826111454</v>
      </c>
      <c r="O98">
        <f t="shared" si="5"/>
        <v>-0.15730941259684172</v>
      </c>
      <c r="P98" s="2">
        <f>H98-H94</f>
        <v>0.40884999999999999</v>
      </c>
      <c r="Q98" s="7">
        <f>IF(MONTH(A98) = 1, 1, 0)</f>
        <v>1</v>
      </c>
      <c r="R98">
        <f>IF(MONTH(A98) = 4, 1, 0)</f>
        <v>0</v>
      </c>
      <c r="S98">
        <f>IF(MONTH(A98) = 7, 1, 0)</f>
        <v>0</v>
      </c>
      <c r="T98">
        <f>IF(MONTH(A98) = 10, 1, 0)</f>
        <v>0</v>
      </c>
      <c r="U98" s="2">
        <v>-1.5387299999999999</v>
      </c>
    </row>
    <row r="99" spans="1:21" x14ac:dyDescent="0.15">
      <c r="A99" s="11">
        <v>39173</v>
      </c>
      <c r="B99" s="2">
        <v>0.48537000000000002</v>
      </c>
      <c r="C99" s="2">
        <v>1.331</v>
      </c>
      <c r="D99" s="2">
        <v>0.97411000000000003</v>
      </c>
      <c r="E99" s="2">
        <v>1.11365</v>
      </c>
      <c r="F99" s="2">
        <v>-39.285710000000002</v>
      </c>
      <c r="G99" s="2">
        <v>4.5</v>
      </c>
      <c r="H99" s="2">
        <v>3.6078000000000001</v>
      </c>
      <c r="I99" s="8">
        <v>457.47199999999998</v>
      </c>
      <c r="J99">
        <v>2.9524565666666665E-2</v>
      </c>
      <c r="K99">
        <v>2.5583009333333333E-2</v>
      </c>
      <c r="L99">
        <f t="shared" si="3"/>
        <v>2.9524565666666667</v>
      </c>
      <c r="M99">
        <f t="shared" si="4"/>
        <v>2.5583009333333333</v>
      </c>
      <c r="N99">
        <v>1.3876808218645831</v>
      </c>
      <c r="O99">
        <f t="shared" si="5"/>
        <v>-7.0301914193594994E-2</v>
      </c>
      <c r="P99" s="2">
        <f>H99-H95</f>
        <v>0.54176000000000002</v>
      </c>
      <c r="Q99" s="7">
        <f>IF(MONTH(A99) = 1, 1, 0)</f>
        <v>0</v>
      </c>
      <c r="R99">
        <f>IF(MONTH(A99) = 4, 1, 0)</f>
        <v>1</v>
      </c>
      <c r="S99">
        <f>IF(MONTH(A99) = 7, 1, 0)</f>
        <v>0</v>
      </c>
      <c r="T99">
        <f>IF(MONTH(A99) = 10, 1, 0)</f>
        <v>0</v>
      </c>
      <c r="U99" s="2">
        <v>-3.2710599999999999</v>
      </c>
    </row>
    <row r="100" spans="1:21" x14ac:dyDescent="0.15">
      <c r="A100" s="11">
        <v>39264</v>
      </c>
      <c r="B100" s="2">
        <v>0.51554999999999995</v>
      </c>
      <c r="C100" s="2">
        <v>-0.49312</v>
      </c>
      <c r="D100" s="2">
        <v>1.13957</v>
      </c>
      <c r="E100" s="2">
        <v>1.23604</v>
      </c>
      <c r="F100" s="2">
        <v>17.64706</v>
      </c>
      <c r="G100" s="2">
        <v>4.666666666666667</v>
      </c>
      <c r="H100" s="2">
        <v>2.33081</v>
      </c>
      <c r="I100" s="8">
        <v>497.101</v>
      </c>
      <c r="J100">
        <v>2.6139644E-2</v>
      </c>
      <c r="K100">
        <v>2.5137561333333336E-2</v>
      </c>
      <c r="L100">
        <f t="shared" si="3"/>
        <v>2.6139644</v>
      </c>
      <c r="M100">
        <f t="shared" si="4"/>
        <v>2.5137561333333336</v>
      </c>
      <c r="N100">
        <v>1.5139045227821126</v>
      </c>
      <c r="O100">
        <f t="shared" si="5"/>
        <v>2.5714141512839905E-2</v>
      </c>
      <c r="P100" s="2">
        <f>H100-H96</f>
        <v>1.3010600000000001</v>
      </c>
      <c r="Q100" s="7">
        <f>IF(MONTH(A100) = 1, 1, 0)</f>
        <v>0</v>
      </c>
      <c r="R100">
        <f>IF(MONTH(A100) = 4, 1, 0)</f>
        <v>0</v>
      </c>
      <c r="S100">
        <f>IF(MONTH(A100) = 7, 1, 0)</f>
        <v>1</v>
      </c>
      <c r="T100">
        <f>IF(MONTH(A100) = 10, 1, 0)</f>
        <v>0</v>
      </c>
      <c r="U100" s="2">
        <v>4.3076800000000004</v>
      </c>
    </row>
    <row r="101" spans="1:21" x14ac:dyDescent="0.15">
      <c r="A101" s="11">
        <v>39356</v>
      </c>
      <c r="B101" s="2">
        <v>0.70392999999999994</v>
      </c>
      <c r="C101" s="2">
        <v>0.98234999999999995</v>
      </c>
      <c r="D101" s="2">
        <v>1.1161099999999999</v>
      </c>
      <c r="E101" s="2">
        <v>1.41622</v>
      </c>
      <c r="F101" s="2">
        <v>40</v>
      </c>
      <c r="G101" s="2">
        <v>4.8</v>
      </c>
      <c r="H101" s="2">
        <v>3.8419300000000001</v>
      </c>
      <c r="I101" s="8">
        <v>449.596</v>
      </c>
      <c r="J101">
        <v>2.4892767E-2</v>
      </c>
      <c r="K101">
        <v>2.3277174333333334E-2</v>
      </c>
      <c r="L101">
        <f t="shared" si="3"/>
        <v>2.4892767</v>
      </c>
      <c r="M101">
        <f t="shared" si="4"/>
        <v>2.3277174333333335</v>
      </c>
      <c r="N101">
        <v>1.6107397453637435</v>
      </c>
      <c r="O101">
        <f t="shared" si="5"/>
        <v>0.13153988242992631</v>
      </c>
      <c r="P101" s="2">
        <f>H101-H97</f>
        <v>6.9563100000000002</v>
      </c>
      <c r="Q101" s="7">
        <f>IF(MONTH(A101) = 1, 1, 0)</f>
        <v>0</v>
      </c>
      <c r="R101">
        <f>IF(MONTH(A101) = 4, 1, 0)</f>
        <v>0</v>
      </c>
      <c r="S101">
        <f>IF(MONTH(A101) = 7, 1, 0)</f>
        <v>0</v>
      </c>
      <c r="T101">
        <f>IF(MONTH(A101) = 10, 1, 0)</f>
        <v>1</v>
      </c>
      <c r="U101" s="2">
        <v>5.7265899999999998</v>
      </c>
    </row>
    <row r="102" spans="1:21" x14ac:dyDescent="0.15">
      <c r="A102" s="11">
        <v>39448</v>
      </c>
      <c r="B102" s="2">
        <v>0.66232000000000002</v>
      </c>
      <c r="C102" s="2">
        <v>1.4074599999999999</v>
      </c>
      <c r="D102" s="2">
        <v>1.35622</v>
      </c>
      <c r="E102" s="2">
        <v>0.67759000000000003</v>
      </c>
      <c r="F102" s="2">
        <v>-25</v>
      </c>
      <c r="G102" s="2">
        <v>5</v>
      </c>
      <c r="H102" s="2">
        <v>3.6469299999999998</v>
      </c>
      <c r="I102" s="8">
        <v>256.036</v>
      </c>
      <c r="J102">
        <v>2.2326950666666668E-2</v>
      </c>
      <c r="K102">
        <v>2.0628456999999999E-2</v>
      </c>
      <c r="L102">
        <f t="shared" si="3"/>
        <v>2.2326950666666669</v>
      </c>
      <c r="M102">
        <f t="shared" si="4"/>
        <v>2.0628457</v>
      </c>
      <c r="N102">
        <v>1.8827679837889282</v>
      </c>
      <c r="O102">
        <f t="shared" si="5"/>
        <v>0.32506660117778274</v>
      </c>
      <c r="P102" s="2">
        <f>H102-H98</f>
        <v>3.2085899999999996</v>
      </c>
      <c r="Q102" s="7">
        <f>IF(MONTH(A102) = 1, 1, 0)</f>
        <v>1</v>
      </c>
      <c r="R102">
        <f>IF(MONTH(A102) = 4, 1, 0)</f>
        <v>0</v>
      </c>
      <c r="S102">
        <f>IF(MONTH(A102) = 7, 1, 0)</f>
        <v>0</v>
      </c>
      <c r="T102">
        <f>IF(MONTH(A102) = 10, 1, 0)</f>
        <v>0</v>
      </c>
      <c r="U102" s="2">
        <v>3.3762400000000001</v>
      </c>
    </row>
    <row r="103" spans="1:21" x14ac:dyDescent="0.15">
      <c r="A103" s="11">
        <v>39539</v>
      </c>
      <c r="B103" s="2">
        <v>0.43448999999999999</v>
      </c>
      <c r="C103" s="2">
        <v>6.6076100000000002</v>
      </c>
      <c r="D103" s="2">
        <v>1.4716899999999999</v>
      </c>
      <c r="E103" s="2">
        <v>1.2537700000000001</v>
      </c>
      <c r="F103" s="2">
        <v>-19.047619999999998</v>
      </c>
      <c r="G103" s="2">
        <v>5.333333333333333</v>
      </c>
      <c r="H103" s="2">
        <v>8.1081099999999999</v>
      </c>
      <c r="I103" s="8">
        <v>210.33</v>
      </c>
      <c r="J103">
        <v>2.344286433333333E-2</v>
      </c>
      <c r="K103">
        <v>2.1749102000000003E-2</v>
      </c>
      <c r="L103">
        <f t="shared" si="3"/>
        <v>2.3442864333333331</v>
      </c>
      <c r="M103">
        <f t="shared" si="4"/>
        <v>2.1749102000000002</v>
      </c>
      <c r="N103">
        <v>1.9705153719024799</v>
      </c>
      <c r="O103">
        <f t="shared" si="5"/>
        <v>0.58283455003789686</v>
      </c>
      <c r="P103" s="2">
        <f>H103-H99</f>
        <v>4.5003099999999998</v>
      </c>
      <c r="Q103" s="7">
        <f>IF(MONTH(A103) = 1, 1, 0)</f>
        <v>0</v>
      </c>
      <c r="R103">
        <f>IF(MONTH(A103) = 4, 1, 0)</f>
        <v>1</v>
      </c>
      <c r="S103">
        <f>IF(MONTH(A103) = 7, 1, 0)</f>
        <v>0</v>
      </c>
      <c r="T103">
        <f>IF(MONTH(A103) = 10, 1, 0)</f>
        <v>0</v>
      </c>
      <c r="U103" s="2">
        <v>7.6075400000000002</v>
      </c>
    </row>
    <row r="104" spans="1:21" x14ac:dyDescent="0.15">
      <c r="A104" s="11">
        <v>39630</v>
      </c>
      <c r="B104" s="2">
        <v>0.64365000000000006</v>
      </c>
      <c r="C104" s="2">
        <v>4.2027000000000001</v>
      </c>
      <c r="D104" s="2">
        <v>2.0455700000000001</v>
      </c>
      <c r="E104" s="2">
        <v>0.28793000000000002</v>
      </c>
      <c r="F104" s="2">
        <v>23.529409999999999</v>
      </c>
      <c r="G104" s="2">
        <v>6</v>
      </c>
      <c r="H104" s="2">
        <v>1.0141500000000001</v>
      </c>
      <c r="I104" s="8">
        <v>99.334999999999994</v>
      </c>
      <c r="J104">
        <v>2.9108299333333334E-2</v>
      </c>
      <c r="K104">
        <v>2.2999659666666668E-2</v>
      </c>
      <c r="L104">
        <f t="shared" si="3"/>
        <v>2.9108299333333334</v>
      </c>
      <c r="M104">
        <f t="shared" si="4"/>
        <v>2.299965966666667</v>
      </c>
      <c r="N104">
        <v>2.5590965766918639</v>
      </c>
      <c r="O104">
        <f t="shared" si="5"/>
        <v>1.0451920539097512</v>
      </c>
      <c r="P104" s="2">
        <f>H104-H100</f>
        <v>-1.3166599999999999</v>
      </c>
      <c r="Q104" s="7">
        <f>IF(MONTH(A104) = 1, 1, 0)</f>
        <v>0</v>
      </c>
      <c r="R104">
        <f>IF(MONTH(A104) = 4, 1, 0)</f>
        <v>0</v>
      </c>
      <c r="S104">
        <f>IF(MONTH(A104) = 7, 1, 0)</f>
        <v>1</v>
      </c>
      <c r="T104">
        <f>IF(MONTH(A104) = 10, 1, 0)</f>
        <v>0</v>
      </c>
      <c r="U104" s="2">
        <v>15.853339999999999</v>
      </c>
    </row>
    <row r="105" spans="1:21" x14ac:dyDescent="0.15">
      <c r="A105" s="11">
        <v>39722</v>
      </c>
      <c r="B105" s="2">
        <v>0.24481</v>
      </c>
      <c r="C105" s="2">
        <v>-3.6889400000000001</v>
      </c>
      <c r="D105" s="2">
        <v>1.05864</v>
      </c>
      <c r="E105" s="2">
        <v>-2.4818600000000002</v>
      </c>
      <c r="F105" s="2">
        <v>-114.28570999999999</v>
      </c>
      <c r="G105" s="2">
        <v>6.8666666666666671</v>
      </c>
      <c r="H105" s="2">
        <v>-14.98949</v>
      </c>
      <c r="I105" s="8">
        <v>-313.46600000000001</v>
      </c>
      <c r="J105">
        <v>8.9160237666666663E-3</v>
      </c>
      <c r="K105">
        <v>1.8981964666666667E-2</v>
      </c>
      <c r="L105">
        <f t="shared" si="3"/>
        <v>0.89160237666666664</v>
      </c>
      <c r="M105">
        <f t="shared" si="4"/>
        <v>1.8981964666666666</v>
      </c>
      <c r="N105">
        <v>3.3682478743444939</v>
      </c>
      <c r="O105">
        <f t="shared" si="5"/>
        <v>1.7575081289807504</v>
      </c>
      <c r="P105" s="2">
        <f>H105-H101</f>
        <v>-18.831420000000001</v>
      </c>
      <c r="Q105" s="7">
        <f>IF(MONTH(A105) = 1, 1, 0)</f>
        <v>0</v>
      </c>
      <c r="R105">
        <f>IF(MONTH(A105) = 4, 1, 0)</f>
        <v>0</v>
      </c>
      <c r="S105">
        <f>IF(MONTH(A105) = 7, 1, 0)</f>
        <v>0</v>
      </c>
      <c r="T105">
        <f>IF(MONTH(A105) = 10, 1, 0)</f>
        <v>1</v>
      </c>
      <c r="U105" s="2">
        <v>12.497859999999999</v>
      </c>
    </row>
    <row r="106" spans="1:21" x14ac:dyDescent="0.15">
      <c r="A106" s="11">
        <v>39814</v>
      </c>
      <c r="B106" s="2">
        <v>0.41972999999999999</v>
      </c>
      <c r="C106" s="2">
        <v>-1.7994600000000001</v>
      </c>
      <c r="D106" s="2">
        <v>0.18101999999999999</v>
      </c>
      <c r="E106" s="2">
        <v>-0.92830999999999997</v>
      </c>
      <c r="F106" s="2">
        <v>-100</v>
      </c>
      <c r="G106" s="2">
        <v>8.2666666666666675</v>
      </c>
      <c r="H106" s="2">
        <v>-6.7289199999999996</v>
      </c>
      <c r="I106" s="8">
        <v>-391.35899999999998</v>
      </c>
      <c r="J106">
        <v>1.2484796666666668E-3</v>
      </c>
      <c r="K106">
        <v>1.6413906666666669E-2</v>
      </c>
      <c r="L106">
        <f t="shared" si="3"/>
        <v>0.12484796666666668</v>
      </c>
      <c r="M106">
        <f t="shared" si="4"/>
        <v>1.6413906666666669</v>
      </c>
      <c r="N106">
        <v>5.1180153123661967</v>
      </c>
      <c r="O106">
        <f t="shared" si="5"/>
        <v>3.2352473285772687</v>
      </c>
      <c r="P106" s="2">
        <f>H106-H102</f>
        <v>-10.37585</v>
      </c>
      <c r="Q106" s="7">
        <f>IF(MONTH(A106) = 1, 1, 0)</f>
        <v>1</v>
      </c>
      <c r="R106">
        <f>IF(MONTH(A106) = 4, 1, 0)</f>
        <v>0</v>
      </c>
      <c r="S106">
        <f>IF(MONTH(A106) = 7, 1, 0)</f>
        <v>0</v>
      </c>
      <c r="T106">
        <f>IF(MONTH(A106) = 10, 1, 0)</f>
        <v>0</v>
      </c>
      <c r="U106" s="2">
        <v>-6.4884300000000001</v>
      </c>
    </row>
    <row r="107" spans="1:21" x14ac:dyDescent="0.15">
      <c r="A107" s="11">
        <v>39904</v>
      </c>
      <c r="B107" s="2">
        <v>0.50980000000000003</v>
      </c>
      <c r="C107" s="2">
        <v>-3.89093</v>
      </c>
      <c r="D107" s="2">
        <v>-0.57065999999999995</v>
      </c>
      <c r="E107" s="2">
        <v>-9.6449999999999994E-2</v>
      </c>
      <c r="F107" s="5" t="e">
        <f>NA()</f>
        <v>#N/A</v>
      </c>
      <c r="G107" s="2">
        <v>9.3000000000000007</v>
      </c>
      <c r="H107" s="2">
        <v>3.5335700000000001</v>
      </c>
      <c r="I107" s="8">
        <v>-579.74800000000005</v>
      </c>
      <c r="J107">
        <v>1.2668979333333332E-2</v>
      </c>
      <c r="K107">
        <v>1.8535621666666665E-2</v>
      </c>
      <c r="L107">
        <f t="shared" si="3"/>
        <v>1.2668979333333332</v>
      </c>
      <c r="M107">
        <f t="shared" si="4"/>
        <v>1.8535621666666664</v>
      </c>
      <c r="N107">
        <v>5.5712051184187521</v>
      </c>
      <c r="O107">
        <f t="shared" si="5"/>
        <v>3.6006897465162719</v>
      </c>
      <c r="P107" s="2">
        <f>H107-H103</f>
        <v>-4.5745399999999998</v>
      </c>
      <c r="Q107" s="7">
        <f>IF(MONTH(A107) = 1, 1, 0)</f>
        <v>0</v>
      </c>
      <c r="R107">
        <f>IF(MONTH(A107) = 4, 1, 0)</f>
        <v>1</v>
      </c>
      <c r="S107">
        <f>IF(MONTH(A107) = 7, 1, 0)</f>
        <v>0</v>
      </c>
      <c r="T107">
        <f>IF(MONTH(A107) = 10, 1, 0)</f>
        <v>0</v>
      </c>
      <c r="U107" s="2">
        <v>-9.2433599999999991</v>
      </c>
    </row>
    <row r="108" spans="1:21" x14ac:dyDescent="0.15">
      <c r="A108" s="11">
        <v>39995</v>
      </c>
      <c r="B108" s="2">
        <v>0.29799999999999999</v>
      </c>
      <c r="C108" s="2">
        <v>-1.3670500000000001</v>
      </c>
      <c r="D108" s="2">
        <v>-0.29110000000000003</v>
      </c>
      <c r="E108" s="2">
        <v>1.3655600000000001</v>
      </c>
      <c r="F108" s="2">
        <v>-12.5</v>
      </c>
      <c r="G108" s="2">
        <v>9.6333333333333329</v>
      </c>
      <c r="H108" s="2">
        <v>2.8725800000000001</v>
      </c>
      <c r="I108" s="8">
        <v>-532.14400000000001</v>
      </c>
      <c r="J108">
        <v>1.9791925000000002E-2</v>
      </c>
      <c r="K108">
        <v>2.0681111000000002E-2</v>
      </c>
      <c r="L108">
        <f t="shared" si="3"/>
        <v>1.9791925000000001</v>
      </c>
      <c r="M108">
        <f t="shared" si="4"/>
        <v>2.0681111000000003</v>
      </c>
      <c r="N108">
        <v>6.0580778636694186</v>
      </c>
      <c r="O108">
        <f t="shared" si="5"/>
        <v>3.4989812869775547</v>
      </c>
      <c r="P108" s="2">
        <f>H108-H104</f>
        <v>1.85843</v>
      </c>
      <c r="Q108" s="7">
        <f>IF(MONTH(A108) = 1, 1, 0)</f>
        <v>0</v>
      </c>
      <c r="R108">
        <f>IF(MONTH(A108) = 4, 1, 0)</f>
        <v>0</v>
      </c>
      <c r="S108">
        <f>IF(MONTH(A108) = 7, 1, 0)</f>
        <v>1</v>
      </c>
      <c r="T108">
        <f>IF(MONTH(A108) = 10, 1, 0)</f>
        <v>0</v>
      </c>
      <c r="U108" s="2">
        <v>-7.0177699999999996</v>
      </c>
    </row>
    <row r="109" spans="1:21" x14ac:dyDescent="0.15">
      <c r="A109" s="11">
        <v>40087</v>
      </c>
      <c r="B109" s="2">
        <v>0.51148000000000005</v>
      </c>
      <c r="C109" s="2">
        <v>1.2844199999999999</v>
      </c>
      <c r="D109" s="2">
        <v>9.2509999999999995E-2</v>
      </c>
      <c r="E109" s="2">
        <v>0.66</v>
      </c>
      <c r="F109" s="2">
        <v>78.571430000000007</v>
      </c>
      <c r="G109" s="2">
        <v>9.9333333333333336</v>
      </c>
      <c r="H109" s="2">
        <v>2.5158999999999998</v>
      </c>
      <c r="I109" s="8">
        <v>-40.256</v>
      </c>
      <c r="J109">
        <v>1.7406669E-2</v>
      </c>
      <c r="K109">
        <v>1.9619755333333332E-2</v>
      </c>
      <c r="L109">
        <f t="shared" si="3"/>
        <v>1.7406668999999999</v>
      </c>
      <c r="M109">
        <f t="shared" si="4"/>
        <v>1.9619755333333333</v>
      </c>
      <c r="N109">
        <v>6.2393210166659117</v>
      </c>
      <c r="O109">
        <f t="shared" si="5"/>
        <v>2.8710731423214177</v>
      </c>
      <c r="P109" s="2">
        <f>H109-H105</f>
        <v>17.505389999999998</v>
      </c>
      <c r="Q109" s="7">
        <f>IF(MONTH(A109) = 1, 1, 0)</f>
        <v>0</v>
      </c>
      <c r="R109">
        <f>IF(MONTH(A109) = 4, 1, 0)</f>
        <v>0</v>
      </c>
      <c r="S109">
        <f>IF(MONTH(A109) = 7, 1, 0)</f>
        <v>0</v>
      </c>
      <c r="T109">
        <f>IF(MONTH(A109) = 10, 1, 0)</f>
        <v>1</v>
      </c>
      <c r="U109" s="2">
        <v>-7.3666999999999998</v>
      </c>
    </row>
    <row r="110" spans="1:21" x14ac:dyDescent="0.15">
      <c r="A110" s="11">
        <v>40179</v>
      </c>
      <c r="B110" s="2">
        <v>1.495E-2</v>
      </c>
      <c r="C110" s="2">
        <v>0.34544000000000002</v>
      </c>
      <c r="D110" s="2">
        <v>0.65232999999999997</v>
      </c>
      <c r="E110" s="2">
        <v>0.96784999999999999</v>
      </c>
      <c r="F110" s="2">
        <v>-44</v>
      </c>
      <c r="G110" s="2">
        <v>9.8333333333333339</v>
      </c>
      <c r="H110" s="2">
        <v>1.9417500000000001</v>
      </c>
      <c r="I110" s="8">
        <v>231.477</v>
      </c>
      <c r="J110">
        <v>1.7991717333333334E-2</v>
      </c>
      <c r="K110">
        <v>2.0381484333333335E-2</v>
      </c>
      <c r="L110">
        <f t="shared" si="3"/>
        <v>1.7991717333333335</v>
      </c>
      <c r="M110">
        <f t="shared" si="4"/>
        <v>2.0381484333333333</v>
      </c>
      <c r="N110">
        <v>5.9575516768228445</v>
      </c>
      <c r="O110">
        <f t="shared" si="5"/>
        <v>0.83953636445664781</v>
      </c>
      <c r="P110" s="2">
        <f>H110-H106</f>
        <v>8.6706699999999994</v>
      </c>
      <c r="Q110" s="7">
        <f>IF(MONTH(A110) = 1, 1, 0)</f>
        <v>1</v>
      </c>
      <c r="R110">
        <f>IF(MONTH(A110) = 4, 1, 0)</f>
        <v>0</v>
      </c>
      <c r="S110">
        <f>IF(MONTH(A110) = 7, 1, 0)</f>
        <v>0</v>
      </c>
      <c r="T110">
        <f>IF(MONTH(A110) = 10, 1, 0)</f>
        <v>0</v>
      </c>
      <c r="U110" s="2">
        <v>-2.1293899999999999</v>
      </c>
    </row>
    <row r="111" spans="1:21" x14ac:dyDescent="0.15">
      <c r="A111" s="11">
        <v>40269</v>
      </c>
      <c r="B111" s="2">
        <v>0.1255</v>
      </c>
      <c r="C111" s="2">
        <v>0.28961999999999999</v>
      </c>
      <c r="D111" s="2">
        <v>0.17147000000000001</v>
      </c>
      <c r="E111" s="2">
        <v>1.0522800000000001</v>
      </c>
      <c r="F111" s="2">
        <v>-21.428570000000001</v>
      </c>
      <c r="G111" s="2">
        <v>9.6333333333333329</v>
      </c>
      <c r="H111" s="2">
        <v>0.42327999999999999</v>
      </c>
      <c r="I111" s="8">
        <v>481.66</v>
      </c>
      <c r="J111">
        <v>1.5011275999999999E-2</v>
      </c>
      <c r="K111">
        <v>1.9892216333333334E-2</v>
      </c>
      <c r="L111">
        <f t="shared" si="3"/>
        <v>1.5011275999999998</v>
      </c>
      <c r="M111">
        <f t="shared" si="4"/>
        <v>1.9892216333333335</v>
      </c>
      <c r="N111">
        <v>4.8008727966164608</v>
      </c>
      <c r="O111">
        <f t="shared" si="5"/>
        <v>-0.77033232180229128</v>
      </c>
      <c r="P111" s="2">
        <f>H111-H107</f>
        <v>-3.11029</v>
      </c>
      <c r="Q111" s="7">
        <f>IF(MONTH(A111) = 1, 1, 0)</f>
        <v>0</v>
      </c>
      <c r="R111">
        <f>IF(MONTH(A111) = 4, 1, 0)</f>
        <v>1</v>
      </c>
      <c r="S111">
        <f>IF(MONTH(A111) = 7, 1, 0)</f>
        <v>0</v>
      </c>
      <c r="T111">
        <f>IF(MONTH(A111) = 10, 1, 0)</f>
        <v>0</v>
      </c>
      <c r="U111" s="2">
        <v>-5.8052700000000002</v>
      </c>
    </row>
    <row r="112" spans="1:21" x14ac:dyDescent="0.15">
      <c r="A112" s="11">
        <v>40360</v>
      </c>
      <c r="B112" s="2">
        <v>0.24209</v>
      </c>
      <c r="C112" s="2">
        <v>-5.0000000000000001E-3</v>
      </c>
      <c r="D112" s="2">
        <v>0.15476000000000001</v>
      </c>
      <c r="E112" s="2">
        <v>0.90744999999999998</v>
      </c>
      <c r="F112" s="2">
        <v>-45.454549999999998</v>
      </c>
      <c r="G112" s="2">
        <v>9.4666666666666668</v>
      </c>
      <c r="H112" s="2">
        <v>-0.79030999999999996</v>
      </c>
      <c r="I112" s="8">
        <v>575.36800000000005</v>
      </c>
      <c r="J112">
        <v>1.0703518833333333E-2</v>
      </c>
      <c r="K112">
        <v>1.6733046666666668E-2</v>
      </c>
      <c r="L112">
        <f t="shared" si="3"/>
        <v>1.0703518833333334</v>
      </c>
      <c r="M112">
        <f t="shared" si="4"/>
        <v>1.6733046666666667</v>
      </c>
      <c r="N112">
        <v>4.7325523127755664</v>
      </c>
      <c r="O112">
        <f t="shared" si="5"/>
        <v>-1.3255255508938522</v>
      </c>
      <c r="P112" s="2">
        <f>H112-H108</f>
        <v>-3.66289</v>
      </c>
      <c r="Q112" s="7">
        <f>IF(MONTH(A112) = 1, 1, 0)</f>
        <v>0</v>
      </c>
      <c r="R112">
        <f>IF(MONTH(A112) = 4, 1, 0)</f>
        <v>0</v>
      </c>
      <c r="S112">
        <f>IF(MONTH(A112) = 7, 1, 0)</f>
        <v>1</v>
      </c>
      <c r="T112">
        <f>IF(MONTH(A112) = 10, 1, 0)</f>
        <v>0</v>
      </c>
      <c r="U112" s="2">
        <v>-6.1272799999999998</v>
      </c>
    </row>
    <row r="113" spans="1:21" x14ac:dyDescent="0.15">
      <c r="A113" s="11">
        <v>40452</v>
      </c>
      <c r="B113" s="2">
        <v>0.26167000000000001</v>
      </c>
      <c r="C113" s="2">
        <v>-0.66879999999999995</v>
      </c>
      <c r="D113" s="2">
        <v>0.50863000000000003</v>
      </c>
      <c r="E113" s="2">
        <v>1.2578400000000001</v>
      </c>
      <c r="F113" s="2">
        <v>116.66667</v>
      </c>
      <c r="G113" s="2">
        <v>9.5</v>
      </c>
      <c r="H113" s="2">
        <v>2.8412099999999998</v>
      </c>
      <c r="I113" s="8">
        <v>566.13900000000001</v>
      </c>
      <c r="J113">
        <v>1.4184570333333334E-2</v>
      </c>
      <c r="K113">
        <v>1.6049399333333336E-2</v>
      </c>
      <c r="L113">
        <f t="shared" si="3"/>
        <v>1.4184570333333333</v>
      </c>
      <c r="M113">
        <f t="shared" si="4"/>
        <v>1.6049399333333336</v>
      </c>
      <c r="N113">
        <v>4.7124661810717363</v>
      </c>
      <c r="O113">
        <f t="shared" si="5"/>
        <v>-1.5268548355941753</v>
      </c>
      <c r="P113" s="2">
        <f>H113-H109</f>
        <v>0.32530999999999999</v>
      </c>
      <c r="Q113" s="7">
        <f>IF(MONTH(A113) = 1, 1, 0)</f>
        <v>0</v>
      </c>
      <c r="R113">
        <f>IF(MONTH(A113) = 4, 1, 0)</f>
        <v>0</v>
      </c>
      <c r="S113">
        <f>IF(MONTH(A113) = 7, 1, 0)</f>
        <v>0</v>
      </c>
      <c r="T113">
        <f>IF(MONTH(A113) = 10, 1, 0)</f>
        <v>1</v>
      </c>
      <c r="U113" s="2">
        <v>-1.2128699999999999</v>
      </c>
    </row>
    <row r="114" spans="1:21" x14ac:dyDescent="0.15">
      <c r="A114" s="11">
        <v>40544</v>
      </c>
      <c r="B114" s="2">
        <v>0.47244000000000003</v>
      </c>
      <c r="C114" s="2">
        <v>0.15292</v>
      </c>
      <c r="D114" s="2">
        <v>1.4923500000000001</v>
      </c>
      <c r="E114" s="2">
        <v>1.2259100000000001</v>
      </c>
      <c r="F114" s="2">
        <v>38.461539999999999</v>
      </c>
      <c r="G114" s="2">
        <v>9.0333333333333332</v>
      </c>
      <c r="H114" s="2">
        <v>5.2414100000000001</v>
      </c>
      <c r="I114" s="8">
        <v>448.11399999999998</v>
      </c>
      <c r="J114">
        <v>1.9503891999999998E-2</v>
      </c>
      <c r="K114">
        <v>2.0018306333333333E-2</v>
      </c>
      <c r="L114">
        <f t="shared" si="3"/>
        <v>1.9503891999999998</v>
      </c>
      <c r="M114">
        <f t="shared" si="4"/>
        <v>2.0018306333333333</v>
      </c>
      <c r="N114">
        <v>4.6262056054864837</v>
      </c>
      <c r="O114">
        <f t="shared" si="5"/>
        <v>-1.3313460713363607</v>
      </c>
      <c r="P114" s="2">
        <f>H114-H110</f>
        <v>3.2996600000000003</v>
      </c>
      <c r="Q114" s="7">
        <f>IF(MONTH(A114) = 1, 1, 0)</f>
        <v>1</v>
      </c>
      <c r="R114">
        <f>IF(MONTH(A114) = 4, 1, 0)</f>
        <v>0</v>
      </c>
      <c r="S114">
        <f>IF(MONTH(A114) = 7, 1, 0)</f>
        <v>0</v>
      </c>
      <c r="T114">
        <f>IF(MONTH(A114) = 10, 1, 0)</f>
        <v>0</v>
      </c>
      <c r="U114" s="2">
        <v>1.16628</v>
      </c>
    </row>
    <row r="115" spans="1:21" x14ac:dyDescent="0.15">
      <c r="A115" s="11">
        <v>40634</v>
      </c>
      <c r="B115" s="2">
        <v>0.46738000000000002</v>
      </c>
      <c r="C115" s="2">
        <v>1.2466200000000001</v>
      </c>
      <c r="D115" s="2">
        <v>1.2536099999999999</v>
      </c>
      <c r="E115" s="2">
        <v>1.08762</v>
      </c>
      <c r="F115" s="2">
        <v>33.333329999999997</v>
      </c>
      <c r="G115" s="2">
        <v>9.0666666666666664</v>
      </c>
      <c r="H115" s="2">
        <v>5.0539699999999996</v>
      </c>
      <c r="I115" s="8">
        <v>468.29500000000002</v>
      </c>
      <c r="J115">
        <v>2.1619145666666662E-2</v>
      </c>
      <c r="K115">
        <v>2.0085433333333336E-2</v>
      </c>
      <c r="L115">
        <f t="shared" si="3"/>
        <v>2.1619145666666664</v>
      </c>
      <c r="M115">
        <f t="shared" si="4"/>
        <v>2.0085433333333338</v>
      </c>
      <c r="N115">
        <v>4.0427817046021302</v>
      </c>
      <c r="O115">
        <f t="shared" si="5"/>
        <v>-0.75809109201433067</v>
      </c>
      <c r="P115" s="2">
        <f>H115-H111</f>
        <v>4.6306899999999995</v>
      </c>
      <c r="Q115" s="7">
        <f>IF(MONTH(A115) = 1, 1, 0)</f>
        <v>0</v>
      </c>
      <c r="R115">
        <f>IF(MONTH(A115) = 4, 1, 0)</f>
        <v>1</v>
      </c>
      <c r="S115">
        <f>IF(MONTH(A115) = 7, 1, 0)</f>
        <v>0</v>
      </c>
      <c r="T115">
        <f>IF(MONTH(A115) = 10, 1, 0)</f>
        <v>0</v>
      </c>
      <c r="U115" s="2">
        <v>-0.52176</v>
      </c>
    </row>
    <row r="116" spans="1:21" x14ac:dyDescent="0.15">
      <c r="A116" s="11">
        <v>40725</v>
      </c>
      <c r="B116" s="2">
        <v>0.68376999999999999</v>
      </c>
      <c r="C116" s="2">
        <v>0.58216999999999997</v>
      </c>
      <c r="D116" s="2">
        <v>1.1693100000000001</v>
      </c>
      <c r="E116" s="2">
        <v>0.76829000000000003</v>
      </c>
      <c r="F116" s="2">
        <v>-25</v>
      </c>
      <c r="G116" s="2">
        <v>9</v>
      </c>
      <c r="H116" s="2">
        <v>-0.51378000000000001</v>
      </c>
      <c r="I116" s="8">
        <v>400.43700000000001</v>
      </c>
      <c r="J116">
        <v>1.6508462666666668E-2</v>
      </c>
      <c r="K116">
        <v>1.7595493666666667E-2</v>
      </c>
      <c r="L116">
        <f t="shared" si="3"/>
        <v>1.6508462666666668</v>
      </c>
      <c r="M116">
        <f t="shared" si="4"/>
        <v>1.7595493666666666</v>
      </c>
      <c r="N116">
        <v>3.8065216686659458</v>
      </c>
      <c r="O116">
        <f t="shared" si="5"/>
        <v>-0.92603064410962066</v>
      </c>
      <c r="P116" s="2">
        <f>H116-H112</f>
        <v>0.27652999999999994</v>
      </c>
      <c r="Q116" s="7">
        <f>IF(MONTH(A116) = 1, 1, 0)</f>
        <v>0</v>
      </c>
      <c r="R116">
        <f>IF(MONTH(A116) = 4, 1, 0)</f>
        <v>0</v>
      </c>
      <c r="S116">
        <f>IF(MONTH(A116) = 7, 1, 0)</f>
        <v>1</v>
      </c>
      <c r="T116">
        <f>IF(MONTH(A116) = 10, 1, 0)</f>
        <v>0</v>
      </c>
      <c r="U116" s="2">
        <v>0.86689000000000005</v>
      </c>
    </row>
    <row r="117" spans="1:21" x14ac:dyDescent="0.15">
      <c r="A117" s="11">
        <v>40817</v>
      </c>
      <c r="B117" s="2">
        <v>0.53337000000000001</v>
      </c>
      <c r="C117" s="2">
        <v>-0.62168999999999996</v>
      </c>
      <c r="D117" s="2">
        <v>0.67762</v>
      </c>
      <c r="E117" s="2">
        <v>0.50333000000000006</v>
      </c>
      <c r="F117" s="2">
        <v>-22.22222</v>
      </c>
      <c r="G117" s="2">
        <v>8.6333333333333329</v>
      </c>
      <c r="H117" s="2">
        <v>-9.3899999999999997E-2</v>
      </c>
      <c r="I117" s="8">
        <v>454.84</v>
      </c>
      <c r="J117">
        <v>1.5608402666666665E-2</v>
      </c>
      <c r="K117">
        <v>1.6130442666666665E-2</v>
      </c>
      <c r="L117">
        <f t="shared" si="3"/>
        <v>1.5608402666666665</v>
      </c>
      <c r="M117">
        <f t="shared" si="4"/>
        <v>1.6130442666666664</v>
      </c>
      <c r="N117">
        <v>3.6767810872764914</v>
      </c>
      <c r="O117">
        <f t="shared" si="5"/>
        <v>-1.0356850937952449</v>
      </c>
      <c r="P117" s="2">
        <f>H117-H113</f>
        <v>-2.9351099999999999</v>
      </c>
      <c r="Q117" s="7">
        <f>IF(MONTH(A117) = 1, 1, 0)</f>
        <v>0</v>
      </c>
      <c r="R117">
        <f>IF(MONTH(A117) = 4, 1, 0)</f>
        <v>0</v>
      </c>
      <c r="S117">
        <f>IF(MONTH(A117) = 7, 1, 0)</f>
        <v>0</v>
      </c>
      <c r="T117">
        <f>IF(MONTH(A117) = 10, 1, 0)</f>
        <v>1</v>
      </c>
      <c r="U117" s="2">
        <v>-2.92936</v>
      </c>
    </row>
    <row r="118" spans="1:21" x14ac:dyDescent="0.15">
      <c r="A118" s="11">
        <v>40909</v>
      </c>
      <c r="B118" s="2">
        <v>0.52569999999999995</v>
      </c>
      <c r="C118" s="2">
        <v>-1.9661299999999999</v>
      </c>
      <c r="D118" s="2">
        <v>0.69772999999999996</v>
      </c>
      <c r="E118" s="2">
        <v>1.3889400000000001</v>
      </c>
      <c r="F118" s="2">
        <v>78.571430000000007</v>
      </c>
      <c r="G118" s="2">
        <v>8.2666666666666675</v>
      </c>
      <c r="H118" s="2">
        <v>0.70489000000000002</v>
      </c>
      <c r="I118" s="8">
        <v>659.95799999999997</v>
      </c>
      <c r="J118">
        <v>1.4449727000000001E-2</v>
      </c>
      <c r="K118">
        <v>1.5757360333333331E-2</v>
      </c>
      <c r="L118">
        <f t="shared" si="3"/>
        <v>1.4449727000000001</v>
      </c>
      <c r="M118">
        <f t="shared" si="4"/>
        <v>1.575736033333333</v>
      </c>
      <c r="N118">
        <v>3.5441307115778344</v>
      </c>
      <c r="O118">
        <f t="shared" si="5"/>
        <v>-1.0820748939086493</v>
      </c>
      <c r="P118" s="2">
        <f>H118-H114</f>
        <v>-4.5365200000000003</v>
      </c>
      <c r="Q118" s="7">
        <f>IF(MONTH(A118) = 1, 1, 0)</f>
        <v>1</v>
      </c>
      <c r="R118">
        <f>IF(MONTH(A118) = 4, 1, 0)</f>
        <v>0</v>
      </c>
      <c r="S118">
        <f>IF(MONTH(A118) = 7, 1, 0)</f>
        <v>0</v>
      </c>
      <c r="T118">
        <f>IF(MONTH(A118) = 10, 1, 0)</f>
        <v>0</v>
      </c>
      <c r="U118" s="2">
        <v>-3.1346099999999999</v>
      </c>
    </row>
    <row r="119" spans="1:21" x14ac:dyDescent="0.15">
      <c r="A119" s="11">
        <v>41000</v>
      </c>
      <c r="B119" s="2">
        <v>0.49138999999999999</v>
      </c>
      <c r="C119" s="2">
        <v>-1.1808700000000001</v>
      </c>
      <c r="D119" s="2">
        <v>0.31407000000000002</v>
      </c>
      <c r="E119" s="2">
        <v>0.4173</v>
      </c>
      <c r="F119" s="2">
        <v>-32</v>
      </c>
      <c r="G119" s="2">
        <v>8.1999999999999993</v>
      </c>
      <c r="H119" s="2">
        <v>-0.88661000000000001</v>
      </c>
      <c r="I119" s="8">
        <v>603.21500000000003</v>
      </c>
      <c r="J119">
        <v>1.3555188233333333E-2</v>
      </c>
      <c r="K119">
        <v>1.5402332333333333E-2</v>
      </c>
      <c r="L119">
        <f t="shared" si="3"/>
        <v>1.3555188233333333</v>
      </c>
      <c r="M119">
        <f t="shared" si="4"/>
        <v>1.5402332333333333</v>
      </c>
      <c r="N119">
        <v>3.1529139006885778</v>
      </c>
      <c r="O119">
        <f t="shared" si="5"/>
        <v>-0.88986780391355236</v>
      </c>
      <c r="P119" s="2">
        <f>H119-H115</f>
        <v>-5.9405799999999997</v>
      </c>
      <c r="Q119" s="7">
        <f>IF(MONTH(A119) = 1, 1, 0)</f>
        <v>0</v>
      </c>
      <c r="R119">
        <f>IF(MONTH(A119) = 4, 1, 0)</f>
        <v>1</v>
      </c>
      <c r="S119">
        <f>IF(MONTH(A119) = 7, 1, 0)</f>
        <v>0</v>
      </c>
      <c r="T119">
        <f>IF(MONTH(A119) = 10, 1, 0)</f>
        <v>0</v>
      </c>
      <c r="U119" s="2">
        <v>-1.1612</v>
      </c>
    </row>
    <row r="120" spans="1:21" x14ac:dyDescent="0.15">
      <c r="A120" s="11">
        <v>41091</v>
      </c>
      <c r="B120" s="2">
        <v>0.45219999999999999</v>
      </c>
      <c r="C120" s="2">
        <v>-5.2499999999999998E-2</v>
      </c>
      <c r="D120" s="2">
        <v>0.27822999999999998</v>
      </c>
      <c r="E120" s="2">
        <v>0.49370999999999998</v>
      </c>
      <c r="F120" s="2">
        <v>-29.411760000000001</v>
      </c>
      <c r="G120" s="2">
        <v>8.0333333333333332</v>
      </c>
      <c r="H120" s="2">
        <v>-1.62429</v>
      </c>
      <c r="I120" s="8">
        <v>624.34699999999998</v>
      </c>
      <c r="J120">
        <v>1.5327489E-2</v>
      </c>
      <c r="K120">
        <v>1.4983123666666667E-2</v>
      </c>
      <c r="L120">
        <f t="shared" si="3"/>
        <v>1.5327489000000001</v>
      </c>
      <c r="M120">
        <f t="shared" si="4"/>
        <v>1.4983123666666667</v>
      </c>
      <c r="N120">
        <v>3.2114196950321059</v>
      </c>
      <c r="O120">
        <f t="shared" si="5"/>
        <v>-0.59510197363383988</v>
      </c>
      <c r="P120" s="2">
        <f>H120-H116</f>
        <v>-1.1105100000000001</v>
      </c>
      <c r="Q120" s="7">
        <f>IF(MONTH(A120) = 1, 1, 0)</f>
        <v>0</v>
      </c>
      <c r="R120">
        <f>IF(MONTH(A120) = 4, 1, 0)</f>
        <v>0</v>
      </c>
      <c r="S120">
        <f>IF(MONTH(A120) = 7, 1, 0)</f>
        <v>1</v>
      </c>
      <c r="T120">
        <f>IF(MONTH(A120) = 10, 1, 0)</f>
        <v>0</v>
      </c>
      <c r="U120" s="2">
        <v>0.86116999999999999</v>
      </c>
    </row>
    <row r="121" spans="1:21" x14ac:dyDescent="0.15">
      <c r="A121" s="11">
        <v>41183</v>
      </c>
      <c r="B121" s="2">
        <v>0.46565000000000001</v>
      </c>
      <c r="C121" s="2">
        <v>1.3045599999999999</v>
      </c>
      <c r="D121" s="2">
        <v>0.43869000000000002</v>
      </c>
      <c r="E121" s="2">
        <v>0.96118000000000003</v>
      </c>
      <c r="F121" s="2">
        <v>50</v>
      </c>
      <c r="G121" s="2">
        <v>7.8</v>
      </c>
      <c r="H121" s="2">
        <v>0.69394999999999996</v>
      </c>
      <c r="I121" s="8">
        <v>488.351</v>
      </c>
      <c r="J121">
        <v>1.7930800333333333E-2</v>
      </c>
      <c r="K121">
        <v>1.5156210333333331E-2</v>
      </c>
      <c r="L121">
        <f t="shared" si="3"/>
        <v>1.7930800333333334</v>
      </c>
      <c r="M121">
        <f t="shared" si="4"/>
        <v>1.5156210333333331</v>
      </c>
      <c r="N121">
        <v>3.1712001745836425</v>
      </c>
      <c r="O121">
        <f t="shared" si="5"/>
        <v>-0.50558091269284899</v>
      </c>
      <c r="P121" s="2">
        <f>H121-H117</f>
        <v>0.78784999999999994</v>
      </c>
      <c r="Q121" s="7">
        <f>IF(MONTH(A121) = 1, 1, 0)</f>
        <v>0</v>
      </c>
      <c r="R121">
        <f>IF(MONTH(A121) = 4, 1, 0)</f>
        <v>0</v>
      </c>
      <c r="S121">
        <f>IF(MONTH(A121) = 7, 1, 0)</f>
        <v>0</v>
      </c>
      <c r="T121">
        <f>IF(MONTH(A121) = 10, 1, 0)</f>
        <v>1</v>
      </c>
      <c r="U121" s="2">
        <v>0.45355000000000001</v>
      </c>
    </row>
    <row r="122" spans="1:21" x14ac:dyDescent="0.15">
      <c r="A122" s="11">
        <v>41275</v>
      </c>
      <c r="B122" s="2">
        <v>0.50614000000000003</v>
      </c>
      <c r="C122" s="2">
        <v>0.68927000000000005</v>
      </c>
      <c r="D122" s="2">
        <v>0.5403</v>
      </c>
      <c r="E122" s="2">
        <v>1.0030699999999999</v>
      </c>
      <c r="F122" s="2">
        <v>-11.11111</v>
      </c>
      <c r="G122" s="2">
        <v>7.7333333333333334</v>
      </c>
      <c r="H122" s="2">
        <v>0.42775999999999997</v>
      </c>
      <c r="I122" s="8">
        <v>453.02699999999999</v>
      </c>
      <c r="J122">
        <v>1.2271109000000001E-2</v>
      </c>
      <c r="K122">
        <v>1.4797120999999998E-2</v>
      </c>
      <c r="L122">
        <f t="shared" si="3"/>
        <v>1.2271109</v>
      </c>
      <c r="M122">
        <f t="shared" si="4"/>
        <v>1.4797120999999998</v>
      </c>
      <c r="N122">
        <v>3.2008924028161716</v>
      </c>
      <c r="O122">
        <f t="shared" si="5"/>
        <v>-0.34323830876166284</v>
      </c>
      <c r="P122" s="2">
        <f>H122-H118</f>
        <v>-0.27713000000000004</v>
      </c>
      <c r="Q122" s="7">
        <f>IF(MONTH(A122) = 1, 1, 0)</f>
        <v>1</v>
      </c>
      <c r="R122">
        <f>IF(MONTH(A122) = 4, 1, 0)</f>
        <v>0</v>
      </c>
      <c r="S122">
        <f>IF(MONTH(A122) = 7, 1, 0)</f>
        <v>0</v>
      </c>
      <c r="T122">
        <f>IF(MONTH(A122) = 10, 1, 0)</f>
        <v>0</v>
      </c>
      <c r="U122" s="2">
        <v>0.10195</v>
      </c>
    </row>
    <row r="123" spans="1:21" x14ac:dyDescent="0.15">
      <c r="A123" s="11">
        <v>41365</v>
      </c>
      <c r="B123" s="2">
        <v>0.22735</v>
      </c>
      <c r="C123" s="2">
        <v>1.72977</v>
      </c>
      <c r="D123" s="2">
        <v>0.16714000000000001</v>
      </c>
      <c r="E123" s="2">
        <v>0.33723999999999998</v>
      </c>
      <c r="F123" s="2">
        <v>-31.25</v>
      </c>
      <c r="G123" s="2">
        <v>7.5333333333333332</v>
      </c>
      <c r="H123" s="2">
        <v>-0.99385000000000001</v>
      </c>
      <c r="I123" s="8">
        <v>363.41300000000001</v>
      </c>
      <c r="J123">
        <v>1.3291835333333335E-2</v>
      </c>
      <c r="K123">
        <v>1.4753454999999999E-2</v>
      </c>
      <c r="L123">
        <f t="shared" si="3"/>
        <v>1.3291835333333335</v>
      </c>
      <c r="M123">
        <f t="shared" si="4"/>
        <v>1.4753455</v>
      </c>
      <c r="N123">
        <v>2.7348786613478651</v>
      </c>
      <c r="O123">
        <f t="shared" si="5"/>
        <v>-0.41803523934071274</v>
      </c>
      <c r="P123" s="2">
        <f>H123-H119</f>
        <v>-0.10724</v>
      </c>
      <c r="Q123" s="7">
        <f>IF(MONTH(A123) = 1, 1, 0)</f>
        <v>0</v>
      </c>
      <c r="R123">
        <f>IF(MONTH(A123) = 4, 1, 0)</f>
        <v>1</v>
      </c>
      <c r="S123">
        <f>IF(MONTH(A123) = 7, 1, 0)</f>
        <v>0</v>
      </c>
      <c r="T123">
        <f>IF(MONTH(A123) = 10, 1, 0)</f>
        <v>0</v>
      </c>
      <c r="U123" s="2">
        <v>-4.0893600000000001</v>
      </c>
    </row>
    <row r="124" spans="1:21" x14ac:dyDescent="0.15">
      <c r="A124" s="11">
        <v>41456</v>
      </c>
      <c r="B124" s="2">
        <v>0.53463000000000005</v>
      </c>
      <c r="C124" s="2">
        <v>-4.3290000000000002E-2</v>
      </c>
      <c r="D124" s="2">
        <v>0.24923999999999999</v>
      </c>
      <c r="E124" s="2">
        <v>0.81891999999999998</v>
      </c>
      <c r="F124" s="2">
        <v>45.454549999999998</v>
      </c>
      <c r="G124" s="2">
        <v>7.2333333333333334</v>
      </c>
      <c r="H124" s="2">
        <v>-7.17E-2</v>
      </c>
      <c r="I124" s="8">
        <v>471.23500000000001</v>
      </c>
      <c r="J124">
        <v>1.6676276333333333E-2</v>
      </c>
      <c r="K124">
        <v>1.7538161E-2</v>
      </c>
      <c r="L124">
        <f t="shared" si="3"/>
        <v>1.6676276333333333</v>
      </c>
      <c r="M124">
        <f t="shared" si="4"/>
        <v>1.7538161000000001</v>
      </c>
      <c r="N124">
        <v>2.7587992630482159</v>
      </c>
      <c r="O124">
        <f t="shared" si="5"/>
        <v>-0.45262043198389001</v>
      </c>
      <c r="P124" s="2">
        <f>H124-H120</f>
        <v>1.5525899999999999</v>
      </c>
      <c r="Q124" s="7">
        <f>IF(MONTH(A124) = 1, 1, 0)</f>
        <v>0</v>
      </c>
      <c r="R124">
        <f>IF(MONTH(A124) = 4, 1, 0)</f>
        <v>0</v>
      </c>
      <c r="S124">
        <f>IF(MONTH(A124) = 7, 1, 0)</f>
        <v>1</v>
      </c>
      <c r="T124">
        <f>IF(MONTH(A124) = 10, 1, 0)</f>
        <v>0</v>
      </c>
      <c r="U124" s="2">
        <v>-1.3927099999999999</v>
      </c>
    </row>
    <row r="125" spans="1:21" x14ac:dyDescent="0.15">
      <c r="A125" s="11">
        <v>41548</v>
      </c>
      <c r="B125" s="2">
        <v>0.44429000000000002</v>
      </c>
      <c r="C125" s="2">
        <v>0.29210000000000003</v>
      </c>
      <c r="D125" s="2">
        <v>0.20394999999999999</v>
      </c>
      <c r="E125" s="2">
        <v>1.2523</v>
      </c>
      <c r="F125" s="2">
        <v>6.25</v>
      </c>
      <c r="G125" s="2">
        <v>6.9333333333333336</v>
      </c>
      <c r="H125" s="2">
        <v>-0.88495999999999997</v>
      </c>
      <c r="I125" s="8">
        <v>638.86800000000005</v>
      </c>
      <c r="J125">
        <v>1.6433769000000001E-2</v>
      </c>
      <c r="K125">
        <v>1.7420455999999997E-2</v>
      </c>
      <c r="L125">
        <f t="shared" si="3"/>
        <v>1.6433769</v>
      </c>
      <c r="M125">
        <f t="shared" si="4"/>
        <v>1.7420455999999997</v>
      </c>
      <c r="N125">
        <v>2.6337062227799457</v>
      </c>
      <c r="O125">
        <f t="shared" si="5"/>
        <v>-0.53749395180369675</v>
      </c>
      <c r="P125" s="2">
        <f>H125-H121</f>
        <v>-1.57891</v>
      </c>
      <c r="Q125" s="7">
        <f>IF(MONTH(A125) = 1, 1, 0)</f>
        <v>0</v>
      </c>
      <c r="R125">
        <f>IF(MONTH(A125) = 4, 1, 0)</f>
        <v>0</v>
      </c>
      <c r="S125">
        <f>IF(MONTH(A125) = 7, 1, 0)</f>
        <v>0</v>
      </c>
      <c r="T125">
        <f>IF(MONTH(A125) = 10, 1, 0)</f>
        <v>1</v>
      </c>
      <c r="U125" s="2">
        <v>-0.47350999999999999</v>
      </c>
    </row>
    <row r="126" spans="1:21" x14ac:dyDescent="0.15">
      <c r="A126" s="11">
        <v>41640</v>
      </c>
      <c r="B126" s="2">
        <v>0.38695000000000002</v>
      </c>
      <c r="C126" s="2">
        <v>3.3832599999999999</v>
      </c>
      <c r="D126" s="2">
        <v>0.77056000000000002</v>
      </c>
      <c r="E126" s="2">
        <v>0.82040000000000002</v>
      </c>
      <c r="F126" s="2">
        <v>-23.529409999999999</v>
      </c>
      <c r="G126" s="2">
        <v>6.666666666666667</v>
      </c>
      <c r="H126" s="2">
        <v>1.0135099999999999</v>
      </c>
      <c r="I126" s="8">
        <v>455.815</v>
      </c>
      <c r="J126">
        <v>1.4811783666666667E-2</v>
      </c>
      <c r="K126">
        <v>1.7877615666666666E-2</v>
      </c>
      <c r="L126">
        <f t="shared" si="3"/>
        <v>1.4811783666666667</v>
      </c>
      <c r="M126">
        <f t="shared" si="4"/>
        <v>1.7877615666666666</v>
      </c>
      <c r="N126">
        <v>2.5713342090958977</v>
      </c>
      <c r="O126">
        <f t="shared" si="5"/>
        <v>-0.62955819372027388</v>
      </c>
      <c r="P126" s="2">
        <f>H126-H122</f>
        <v>0.58574999999999999</v>
      </c>
      <c r="Q126" s="7">
        <f>IF(MONTH(A126) = 1, 1, 0)</f>
        <v>1</v>
      </c>
      <c r="R126">
        <f>IF(MONTH(A126) = 4, 1, 0)</f>
        <v>0</v>
      </c>
      <c r="S126">
        <f>IF(MONTH(A126) = 7, 1, 0)</f>
        <v>0</v>
      </c>
      <c r="T126">
        <f>IF(MONTH(A126) = 10, 1, 0)</f>
        <v>0</v>
      </c>
      <c r="U126" s="2">
        <v>0.89456999999999998</v>
      </c>
    </row>
    <row r="127" spans="1:21" x14ac:dyDescent="0.15">
      <c r="A127" s="11">
        <v>41730</v>
      </c>
      <c r="B127" s="2">
        <v>0.51737</v>
      </c>
      <c r="C127" s="2">
        <v>0.73085</v>
      </c>
      <c r="D127" s="2">
        <v>0.99168000000000001</v>
      </c>
      <c r="E127" s="2">
        <v>1.4119299999999999</v>
      </c>
      <c r="F127" s="2">
        <v>38.461539999999999</v>
      </c>
      <c r="G127" s="2">
        <v>6.2</v>
      </c>
      <c r="H127" s="2">
        <v>0.40611999999999998</v>
      </c>
      <c r="I127" s="8">
        <v>694.40800000000002</v>
      </c>
      <c r="J127">
        <v>1.6493156000000002E-2</v>
      </c>
      <c r="K127">
        <v>1.8579101000000001E-2</v>
      </c>
      <c r="L127">
        <f t="shared" si="3"/>
        <v>1.6493156000000002</v>
      </c>
      <c r="M127">
        <f t="shared" si="4"/>
        <v>1.8579101</v>
      </c>
      <c r="N127">
        <v>1.9274659722882281</v>
      </c>
      <c r="O127">
        <f t="shared" si="5"/>
        <v>-0.80741268905963692</v>
      </c>
      <c r="P127" s="2">
        <f>H127-H123</f>
        <v>1.3999699999999999</v>
      </c>
      <c r="Q127" s="7">
        <f>IF(MONTH(A127) = 1, 1, 0)</f>
        <v>0</v>
      </c>
      <c r="R127">
        <f>IF(MONTH(A127) = 4, 1, 0)</f>
        <v>1</v>
      </c>
      <c r="S127">
        <f>IF(MONTH(A127) = 7, 1, 0)</f>
        <v>0</v>
      </c>
      <c r="T127">
        <f>IF(MONTH(A127) = 10, 1, 0)</f>
        <v>0</v>
      </c>
      <c r="U127" s="2">
        <v>-2.2879999999999998</v>
      </c>
    </row>
    <row r="128" spans="1:21" x14ac:dyDescent="0.15">
      <c r="A128" s="11">
        <v>41821</v>
      </c>
      <c r="B128" s="2">
        <v>0.41378999999999999</v>
      </c>
      <c r="C128" s="2">
        <v>4.8999999999999998E-3</v>
      </c>
      <c r="D128" s="2">
        <v>0.75316000000000005</v>
      </c>
      <c r="E128" s="2">
        <v>1.26498</v>
      </c>
      <c r="F128" s="2">
        <v>-16.66667</v>
      </c>
      <c r="G128" s="2">
        <v>6.0666666666666664</v>
      </c>
      <c r="H128" s="2">
        <v>-0.78515000000000001</v>
      </c>
      <c r="I128" s="8">
        <v>769.41800000000001</v>
      </c>
      <c r="J128">
        <v>1.9270282333333333E-2</v>
      </c>
      <c r="K128">
        <v>1.8915243666666665E-2</v>
      </c>
      <c r="L128">
        <f t="shared" si="3"/>
        <v>1.9270282333333333</v>
      </c>
      <c r="M128">
        <f t="shared" si="4"/>
        <v>1.8915243666666663</v>
      </c>
      <c r="N128">
        <v>1.8666524770932937</v>
      </c>
      <c r="O128">
        <f t="shared" si="5"/>
        <v>-0.89214678595492214</v>
      </c>
      <c r="P128" s="2">
        <f>H128-H124</f>
        <v>-0.71345000000000003</v>
      </c>
      <c r="Q128" s="7">
        <f>IF(MONTH(A128) = 1, 1, 0)</f>
        <v>0</v>
      </c>
      <c r="R128">
        <f>IF(MONTH(A128) = 4, 1, 0)</f>
        <v>0</v>
      </c>
      <c r="S128">
        <f>IF(MONTH(A128) = 7, 1, 0)</f>
        <v>1</v>
      </c>
      <c r="T128">
        <f>IF(MONTH(A128) = 10, 1, 0)</f>
        <v>0</v>
      </c>
      <c r="U128" s="2">
        <v>4.0347400000000002</v>
      </c>
    </row>
    <row r="129" spans="1:21" x14ac:dyDescent="0.15">
      <c r="A129" s="11">
        <v>41913</v>
      </c>
      <c r="B129" s="2">
        <v>0.39796999999999999</v>
      </c>
      <c r="C129" s="2">
        <v>-0.80632000000000004</v>
      </c>
      <c r="D129" s="2">
        <v>0.66427000000000003</v>
      </c>
      <c r="E129" s="2">
        <v>1.0178499999999999</v>
      </c>
      <c r="F129" s="2">
        <v>-26.66667</v>
      </c>
      <c r="G129" s="2">
        <v>5.7</v>
      </c>
      <c r="H129" s="2">
        <v>-4.1726599999999996</v>
      </c>
      <c r="I129" s="8">
        <v>616.88400000000001</v>
      </c>
      <c r="J129">
        <v>1.7031663666666665E-2</v>
      </c>
      <c r="K129">
        <v>1.8468636E-2</v>
      </c>
      <c r="L129">
        <f t="shared" si="3"/>
        <v>1.7031663666666665</v>
      </c>
      <c r="M129">
        <f t="shared" si="4"/>
        <v>1.8468636</v>
      </c>
      <c r="N129">
        <v>1.8008434279941214</v>
      </c>
      <c r="O129">
        <f t="shared" si="5"/>
        <v>-0.83286279478582426</v>
      </c>
      <c r="P129" s="2">
        <f>H129-H125</f>
        <v>-3.2876999999999996</v>
      </c>
      <c r="Q129" s="7">
        <f>IF(MONTH(A129) = 1, 1, 0)</f>
        <v>0</v>
      </c>
      <c r="R129">
        <f>IF(MONTH(A129) = 4, 1, 0)</f>
        <v>0</v>
      </c>
      <c r="S129">
        <f>IF(MONTH(A129) = 7, 1, 0)</f>
        <v>0</v>
      </c>
      <c r="T129">
        <f>IF(MONTH(A129) = 10, 1, 0)</f>
        <v>1</v>
      </c>
      <c r="U129" s="2">
        <v>7.7073999999999998</v>
      </c>
    </row>
    <row r="130" spans="1:21" x14ac:dyDescent="0.15">
      <c r="A130" s="11">
        <v>42005</v>
      </c>
      <c r="B130" s="2">
        <v>0.34877000000000002</v>
      </c>
      <c r="C130" s="2">
        <v>-0.1055</v>
      </c>
      <c r="D130" s="2">
        <v>0.39778000000000002</v>
      </c>
      <c r="E130" s="2">
        <v>0.31646000000000002</v>
      </c>
      <c r="F130" s="2">
        <v>-36.363639999999997</v>
      </c>
      <c r="G130" s="2">
        <v>5.5333333333333332</v>
      </c>
      <c r="H130" s="2">
        <v>-5.7057099999999998</v>
      </c>
      <c r="I130" s="8">
        <v>773.95100000000002</v>
      </c>
      <c r="J130">
        <v>6.9927391333333326E-3</v>
      </c>
      <c r="K130">
        <v>1.6439367666666666E-2</v>
      </c>
      <c r="L130">
        <f t="shared" si="3"/>
        <v>0.69927391333333322</v>
      </c>
      <c r="M130">
        <f t="shared" si="4"/>
        <v>1.6439367666666667</v>
      </c>
      <c r="N130">
        <v>1.7401862499405532</v>
      </c>
      <c r="O130">
        <f t="shared" si="5"/>
        <v>-0.83114795915534456</v>
      </c>
      <c r="P130" s="2">
        <f>H130-H126</f>
        <v>-6.71922</v>
      </c>
      <c r="Q130" s="7">
        <f>IF(MONTH(A130) = 1, 1, 0)</f>
        <v>1</v>
      </c>
      <c r="R130">
        <f>IF(MONTH(A130) = 4, 1, 0)</f>
        <v>0</v>
      </c>
      <c r="S130">
        <f>IF(MONTH(A130) = 7, 1, 0)</f>
        <v>0</v>
      </c>
      <c r="T130">
        <f>IF(MONTH(A130) = 10, 1, 0)</f>
        <v>0</v>
      </c>
      <c r="U130" s="2">
        <v>8.1428200000000004</v>
      </c>
    </row>
    <row r="131" spans="1:21" x14ac:dyDescent="0.15">
      <c r="A131" s="11">
        <v>42095</v>
      </c>
      <c r="B131" s="2">
        <v>0.60494000000000003</v>
      </c>
      <c r="C131" s="2">
        <v>-1.60836</v>
      </c>
      <c r="D131" s="2">
        <v>-3.7199999999999997E-2</v>
      </c>
      <c r="E131" s="2">
        <v>1.19089</v>
      </c>
      <c r="F131" s="2">
        <v>157.14286000000001</v>
      </c>
      <c r="G131" s="2">
        <v>5.4333333333333336</v>
      </c>
      <c r="H131" s="2">
        <v>0.37154999999999999</v>
      </c>
      <c r="I131" s="8">
        <v>671.428</v>
      </c>
      <c r="J131">
        <v>1.6892917E-2</v>
      </c>
      <c r="K131">
        <v>1.7766959999999998E-2</v>
      </c>
      <c r="L131">
        <f t="shared" ref="L131:L165" si="6">J131*100</f>
        <v>1.6892917000000001</v>
      </c>
      <c r="M131">
        <f t="shared" ref="M131:M165" si="7">K131*100</f>
        <v>1.7766959999999998</v>
      </c>
      <c r="N131">
        <v>1.4873351744150645</v>
      </c>
      <c r="O131">
        <f t="shared" si="5"/>
        <v>-0.44013079787316367</v>
      </c>
      <c r="P131" s="2">
        <f>H131-H127</f>
        <v>-3.456999999999999E-2</v>
      </c>
      <c r="Q131" s="7">
        <f>IF(MONTH(A131) = 1, 1, 0)</f>
        <v>0</v>
      </c>
      <c r="R131">
        <f>IF(MONTH(A131) = 4, 1, 0)</f>
        <v>1</v>
      </c>
      <c r="S131">
        <f>IF(MONTH(A131) = 7, 1, 0)</f>
        <v>0</v>
      </c>
      <c r="T131">
        <f>IF(MONTH(A131) = 10, 1, 0)</f>
        <v>0</v>
      </c>
      <c r="U131" s="2">
        <v>-2.77264</v>
      </c>
    </row>
    <row r="132" spans="1:21" x14ac:dyDescent="0.15">
      <c r="A132" s="11">
        <v>42186</v>
      </c>
      <c r="B132" s="2">
        <v>0.49647999999999998</v>
      </c>
      <c r="C132" s="2">
        <v>-0.64502000000000004</v>
      </c>
      <c r="D132" s="2">
        <v>0.58431</v>
      </c>
      <c r="E132" s="2">
        <v>0.96514</v>
      </c>
      <c r="F132" s="2">
        <v>-27.77778</v>
      </c>
      <c r="G132" s="2">
        <v>5.0999999999999996</v>
      </c>
      <c r="H132" s="2">
        <v>-2.0359600000000002</v>
      </c>
      <c r="I132" s="8">
        <v>477.49</v>
      </c>
      <c r="J132">
        <v>1.8180931750496721E-2</v>
      </c>
      <c r="K132">
        <v>1.846443045559017E-2</v>
      </c>
      <c r="L132">
        <f t="shared" si="6"/>
        <v>1.8180931750496721</v>
      </c>
      <c r="M132">
        <f t="shared" si="7"/>
        <v>1.8464430455590171</v>
      </c>
      <c r="N132">
        <v>1.3990058120988333</v>
      </c>
      <c r="O132">
        <f t="shared" si="5"/>
        <v>-0.46764666499446039</v>
      </c>
      <c r="P132" s="2">
        <f>H132-H128</f>
        <v>-1.2508100000000002</v>
      </c>
      <c r="Q132" s="7">
        <f>IF(MONTH(A132) = 1, 1, 0)</f>
        <v>0</v>
      </c>
      <c r="R132">
        <f>IF(MONTH(A132) = 4, 1, 0)</f>
        <v>0</v>
      </c>
      <c r="S132">
        <f>IF(MONTH(A132) = 7, 1, 0)</f>
        <v>1</v>
      </c>
      <c r="T132">
        <f>IF(MONTH(A132) = 10, 1, 0)</f>
        <v>0</v>
      </c>
      <c r="U132" s="2">
        <v>-2.6051000000000002</v>
      </c>
    </row>
    <row r="133" spans="1:21" x14ac:dyDescent="0.15">
      <c r="A133" s="11">
        <v>42278</v>
      </c>
      <c r="B133" s="2">
        <v>0.52944000000000002</v>
      </c>
      <c r="C133" s="2">
        <v>-1.0771200000000001</v>
      </c>
      <c r="D133" s="2">
        <v>0.26301000000000002</v>
      </c>
      <c r="E133" s="2">
        <v>0.33004</v>
      </c>
      <c r="F133" s="2">
        <v>-23.076920000000001</v>
      </c>
      <c r="G133" s="2">
        <v>5.0333333333333332</v>
      </c>
      <c r="H133" s="2">
        <v>-2.4021599999999999</v>
      </c>
      <c r="I133" s="8">
        <v>401.95</v>
      </c>
      <c r="J133">
        <v>1.3622015154837191E-2</v>
      </c>
      <c r="K133">
        <v>1.7860841112794928E-2</v>
      </c>
      <c r="L133">
        <f t="shared" si="6"/>
        <v>1.362201515483719</v>
      </c>
      <c r="M133">
        <f t="shared" si="7"/>
        <v>1.786084111279493</v>
      </c>
      <c r="N133">
        <v>1.3765415599314743</v>
      </c>
      <c r="O133">
        <f t="shared" si="5"/>
        <v>-0.42430186806264714</v>
      </c>
      <c r="P133" s="2">
        <f>H133-H129</f>
        <v>1.7704999999999997</v>
      </c>
      <c r="Q133" s="7">
        <f>IF(MONTH(A133) = 1, 1, 0)</f>
        <v>0</v>
      </c>
      <c r="R133">
        <f>IF(MONTH(A133) = 4, 1, 0)</f>
        <v>0</v>
      </c>
      <c r="S133">
        <f>IF(MONTH(A133) = 7, 1, 0)</f>
        <v>0</v>
      </c>
      <c r="T133">
        <f>IF(MONTH(A133) = 10, 1, 0)</f>
        <v>1</v>
      </c>
      <c r="U133" s="2">
        <v>0.69440999999999997</v>
      </c>
    </row>
    <row r="134" spans="1:21" x14ac:dyDescent="0.15">
      <c r="A134" s="11">
        <v>42370</v>
      </c>
      <c r="B134" s="2">
        <v>0.52173000000000003</v>
      </c>
      <c r="C134" s="2">
        <v>-1.1462699999999999</v>
      </c>
      <c r="D134" s="2">
        <v>1.9859999999999999E-2</v>
      </c>
      <c r="E134" s="2">
        <v>0.80332000000000003</v>
      </c>
      <c r="F134" s="2">
        <v>70</v>
      </c>
      <c r="G134" s="2">
        <v>4.9000000000000004</v>
      </c>
      <c r="H134" s="2">
        <v>-2.4612799999999999</v>
      </c>
      <c r="I134" s="8">
        <v>343.46899999999999</v>
      </c>
      <c r="J134">
        <v>1.124375711912907E-2</v>
      </c>
      <c r="K134">
        <v>1.7355012559157869E-2</v>
      </c>
      <c r="L134">
        <f t="shared" si="6"/>
        <v>1.124375711912907</v>
      </c>
      <c r="M134">
        <f t="shared" si="7"/>
        <v>1.735501255915787</v>
      </c>
      <c r="N134">
        <v>1.4102075244103949</v>
      </c>
      <c r="O134">
        <f t="shared" si="5"/>
        <v>-0.32997872553015828</v>
      </c>
      <c r="P134" s="2">
        <f>H134-H130</f>
        <v>3.2444299999999999</v>
      </c>
      <c r="Q134" s="7">
        <f>IF(MONTH(A134) = 1, 1, 0)</f>
        <v>1</v>
      </c>
      <c r="R134">
        <f>IF(MONTH(A134) = 4, 1, 0)</f>
        <v>0</v>
      </c>
      <c r="S134">
        <f>IF(MONTH(A134) = 7, 1, 0)</f>
        <v>0</v>
      </c>
      <c r="T134">
        <f>IF(MONTH(A134) = 10, 1, 0)</f>
        <v>0</v>
      </c>
      <c r="U134" s="2">
        <v>-2.0990000000000002E-2</v>
      </c>
    </row>
    <row r="135" spans="1:21" x14ac:dyDescent="0.15">
      <c r="A135" s="11">
        <v>42461</v>
      </c>
      <c r="B135" s="2">
        <v>0.65863000000000005</v>
      </c>
      <c r="C135" s="2">
        <v>0.38968000000000003</v>
      </c>
      <c r="D135" s="2">
        <v>-0.22189</v>
      </c>
      <c r="E135" s="2">
        <v>1.1336299999999999</v>
      </c>
      <c r="F135" s="2">
        <v>29.411760000000001</v>
      </c>
      <c r="G135" s="2">
        <v>4.9333333333333336</v>
      </c>
      <c r="H135" s="2">
        <v>1.81457</v>
      </c>
      <c r="I135" s="8">
        <v>314.495</v>
      </c>
      <c r="J135">
        <v>1.5436493923062724E-2</v>
      </c>
      <c r="K135">
        <v>1.7295723307477404E-2</v>
      </c>
      <c r="L135">
        <f t="shared" si="6"/>
        <v>1.5436493923062724</v>
      </c>
      <c r="M135">
        <f t="shared" si="7"/>
        <v>1.7295723307477404</v>
      </c>
      <c r="N135">
        <v>1.2872256649533211</v>
      </c>
      <c r="O135">
        <f t="shared" ref="O135:O165" si="8">N135-N131</f>
        <v>-0.20010950946174333</v>
      </c>
      <c r="P135" s="2">
        <f>H135-H131</f>
        <v>1.44302</v>
      </c>
      <c r="Q135" s="7">
        <f>IF(MONTH(A135) = 1, 1, 0)</f>
        <v>0</v>
      </c>
      <c r="R135">
        <f>IF(MONTH(A135) = 4, 1, 0)</f>
        <v>1</v>
      </c>
      <c r="S135">
        <f>IF(MONTH(A135) = 7, 1, 0)</f>
        <v>0</v>
      </c>
      <c r="T135">
        <f>IF(MONTH(A135) = 10, 1, 0)</f>
        <v>0</v>
      </c>
      <c r="U135" s="2">
        <v>-4.7199900000000001</v>
      </c>
    </row>
    <row r="136" spans="1:21" x14ac:dyDescent="0.15">
      <c r="A136" s="11">
        <v>42552</v>
      </c>
      <c r="B136" s="2">
        <v>0.52156999999999998</v>
      </c>
      <c r="C136" s="2">
        <v>1.92058</v>
      </c>
      <c r="D136" s="2">
        <v>-7.5969999999999996E-2</v>
      </c>
      <c r="E136" s="2">
        <v>1.04223</v>
      </c>
      <c r="F136" s="2">
        <v>-22.727270000000001</v>
      </c>
      <c r="G136" s="2">
        <v>4.9000000000000004</v>
      </c>
      <c r="H136" s="2">
        <v>0.77973000000000003</v>
      </c>
      <c r="I136" s="8">
        <v>383.209</v>
      </c>
      <c r="J136">
        <v>1.7675527344578949E-2</v>
      </c>
      <c r="K136">
        <v>1.6685437516735249E-2</v>
      </c>
      <c r="L136">
        <f t="shared" si="6"/>
        <v>1.767552734457895</v>
      </c>
      <c r="M136">
        <f t="shared" si="7"/>
        <v>1.6685437516735249</v>
      </c>
      <c r="N136">
        <v>1.3135598103488146</v>
      </c>
      <c r="O136">
        <f t="shared" si="8"/>
        <v>-8.5446001750018707E-2</v>
      </c>
      <c r="P136" s="2">
        <f t="shared" ref="P136:P165" si="9">H136-H132</f>
        <v>2.81569</v>
      </c>
      <c r="Q136" s="7">
        <f>IF(MONTH(A136) = 1, 1, 0)</f>
        <v>0</v>
      </c>
      <c r="R136">
        <f>IF(MONTH(A136) = 4, 1, 0)</f>
        <v>0</v>
      </c>
      <c r="S136">
        <f>IF(MONTH(A136) = 7, 1, 0)</f>
        <v>1</v>
      </c>
      <c r="T136">
        <f>IF(MONTH(A136) = 10, 1, 0)</f>
        <v>0</v>
      </c>
      <c r="U136" s="2">
        <v>-1.94418</v>
      </c>
    </row>
    <row r="137" spans="1:21" x14ac:dyDescent="0.15">
      <c r="A137" s="11">
        <v>42644</v>
      </c>
      <c r="B137" s="2">
        <v>0.46289000000000002</v>
      </c>
      <c r="C137" s="2">
        <v>0.43374000000000001</v>
      </c>
      <c r="D137" s="2">
        <v>-4.965E-2</v>
      </c>
      <c r="E137" s="2">
        <v>0.97548000000000001</v>
      </c>
      <c r="F137" s="2">
        <v>-17.64706</v>
      </c>
      <c r="G137" s="2">
        <v>4.7666666666666666</v>
      </c>
      <c r="H137" s="2">
        <v>0.55264000000000002</v>
      </c>
      <c r="I137" s="8">
        <v>549.77800000000002</v>
      </c>
      <c r="J137">
        <v>1.979310799158181E-2</v>
      </c>
      <c r="K137">
        <v>1.8055258282214225E-2</v>
      </c>
      <c r="L137">
        <f t="shared" si="6"/>
        <v>1.9793107991581811</v>
      </c>
      <c r="M137">
        <f t="shared" si="7"/>
        <v>1.8055258282214226</v>
      </c>
      <c r="N137">
        <v>1.2931717924281598</v>
      </c>
      <c r="O137">
        <f t="shared" si="8"/>
        <v>-8.3369767503314485E-2</v>
      </c>
      <c r="P137" s="2">
        <f t="shared" si="9"/>
        <v>2.9547999999999996</v>
      </c>
      <c r="Q137" s="7">
        <f>IF(MONTH(A137) = 1, 1, 0)</f>
        <v>0</v>
      </c>
      <c r="R137">
        <f>IF(MONTH(A137) = 4, 1, 0)</f>
        <v>0</v>
      </c>
      <c r="S137">
        <f>IF(MONTH(A137) = 7, 1, 0)</f>
        <v>0</v>
      </c>
      <c r="T137">
        <f>IF(MONTH(A137) = 10, 1, 0)</f>
        <v>1</v>
      </c>
      <c r="U137" s="2">
        <v>1.18686</v>
      </c>
    </row>
    <row r="138" spans="1:21" x14ac:dyDescent="0.15">
      <c r="A138" s="11">
        <v>42736</v>
      </c>
      <c r="B138" s="2">
        <v>0.51646999999999998</v>
      </c>
      <c r="C138" s="2">
        <v>0.52227000000000001</v>
      </c>
      <c r="D138" s="2">
        <v>0.45462000000000002</v>
      </c>
      <c r="E138" s="2">
        <v>1.3571200000000001</v>
      </c>
      <c r="F138" s="2">
        <v>35.714289999999998</v>
      </c>
      <c r="G138" s="2">
        <v>4.5666666666666664</v>
      </c>
      <c r="H138" s="2">
        <v>0.98928000000000005</v>
      </c>
      <c r="I138" s="8">
        <v>601.97799999999995</v>
      </c>
      <c r="J138">
        <v>1.8495512423843979E-2</v>
      </c>
      <c r="K138">
        <v>1.9104383390941383E-2</v>
      </c>
      <c r="L138">
        <f t="shared" si="6"/>
        <v>1.8495512423843978</v>
      </c>
      <c r="M138">
        <f t="shared" si="7"/>
        <v>1.9104383390941382</v>
      </c>
      <c r="N138">
        <v>1.3778059701578951</v>
      </c>
      <c r="O138">
        <f t="shared" si="8"/>
        <v>-3.2401554252499798E-2</v>
      </c>
      <c r="P138" s="2">
        <f t="shared" si="9"/>
        <v>3.4505599999999998</v>
      </c>
      <c r="Q138" s="7">
        <f>IF(MONTH(A138) = 1, 1, 0)</f>
        <v>1</v>
      </c>
      <c r="R138">
        <f>IF(MONTH(A138) = 4, 1, 0)</f>
        <v>0</v>
      </c>
      <c r="S138">
        <f>IF(MONTH(A138) = 7, 1, 0)</f>
        <v>0</v>
      </c>
      <c r="T138">
        <f>IF(MONTH(A138) = 10, 1, 0)</f>
        <v>0</v>
      </c>
      <c r="U138" s="2">
        <v>-0.46193000000000001</v>
      </c>
    </row>
    <row r="139" spans="1:21" x14ac:dyDescent="0.15">
      <c r="A139" s="11">
        <v>42826</v>
      </c>
      <c r="B139" s="2">
        <v>0.26501999999999998</v>
      </c>
      <c r="C139" s="2">
        <v>1.7086600000000001</v>
      </c>
      <c r="D139" s="2">
        <v>0.43018000000000001</v>
      </c>
      <c r="E139" s="2">
        <v>0.69811000000000001</v>
      </c>
      <c r="F139" s="2">
        <v>-31.578949999999999</v>
      </c>
      <c r="G139" s="2">
        <v>4.3666666666666671</v>
      </c>
      <c r="H139" s="2">
        <v>0.10884000000000001</v>
      </c>
      <c r="I139" s="8">
        <v>577.495</v>
      </c>
      <c r="J139">
        <v>1.41405459822783E-2</v>
      </c>
      <c r="K139">
        <v>1.8094428939617491E-2</v>
      </c>
      <c r="L139">
        <f t="shared" si="6"/>
        <v>1.4140545982278299</v>
      </c>
      <c r="M139">
        <f t="shared" si="7"/>
        <v>1.8094428939617491</v>
      </c>
      <c r="N139">
        <v>1.092492214680705</v>
      </c>
      <c r="O139">
        <f t="shared" si="8"/>
        <v>-0.19473345027261613</v>
      </c>
      <c r="P139" s="2">
        <f t="shared" si="9"/>
        <v>-1.70573</v>
      </c>
      <c r="Q139" s="7">
        <f>IF(MONTH(A139) = 1, 1, 0)</f>
        <v>0</v>
      </c>
      <c r="R139">
        <f>IF(MONTH(A139) = 4, 1, 0)</f>
        <v>1</v>
      </c>
      <c r="S139">
        <f>IF(MONTH(A139) = 7, 1, 0)</f>
        <v>0</v>
      </c>
      <c r="T139">
        <f>IF(MONTH(A139) = 10, 1, 0)</f>
        <v>0</v>
      </c>
      <c r="U139" s="2">
        <v>-0.7097</v>
      </c>
    </row>
    <row r="140" spans="1:21" x14ac:dyDescent="0.15">
      <c r="A140" s="11">
        <v>42917</v>
      </c>
      <c r="B140" s="2">
        <v>0.38824999999999998</v>
      </c>
      <c r="C140" s="2">
        <v>0.43701000000000001</v>
      </c>
      <c r="D140" s="2">
        <v>0.30584</v>
      </c>
      <c r="E140" s="2">
        <v>1.03346</v>
      </c>
      <c r="F140" s="2">
        <v>-7.69231</v>
      </c>
      <c r="G140" s="2">
        <v>4.333333333333333</v>
      </c>
      <c r="H140" s="2">
        <v>0.29898999999999998</v>
      </c>
      <c r="I140" s="8">
        <v>654.85199999999998</v>
      </c>
      <c r="J140">
        <v>1.8073800691484936E-2</v>
      </c>
      <c r="K140">
        <v>1.8362551300771371E-2</v>
      </c>
      <c r="L140">
        <f t="shared" si="6"/>
        <v>1.8073800691484936</v>
      </c>
      <c r="M140">
        <f t="shared" si="7"/>
        <v>1.836255130077137</v>
      </c>
      <c r="N140">
        <v>1.0875236649584255</v>
      </c>
      <c r="O140">
        <f t="shared" si="8"/>
        <v>-0.22603614539038919</v>
      </c>
      <c r="P140" s="2">
        <f t="shared" si="9"/>
        <v>-0.48074000000000006</v>
      </c>
      <c r="Q140" s="7">
        <f>IF(MONTH(A140) = 1, 1, 0)</f>
        <v>0</v>
      </c>
      <c r="R140">
        <f>IF(MONTH(A140) = 4, 1, 0)</f>
        <v>0</v>
      </c>
      <c r="S140">
        <f>IF(MONTH(A140) = 7, 1, 0)</f>
        <v>1</v>
      </c>
      <c r="T140">
        <f>IF(MONTH(A140) = 10, 1, 0)</f>
        <v>0</v>
      </c>
      <c r="U140" s="2">
        <v>0.17867</v>
      </c>
    </row>
    <row r="141" spans="1:21" x14ac:dyDescent="0.15">
      <c r="A141" s="11">
        <v>43009</v>
      </c>
      <c r="B141" s="2">
        <v>0.57491000000000003</v>
      </c>
      <c r="C141" s="2">
        <v>-0.19975000000000001</v>
      </c>
      <c r="D141" s="2">
        <v>0.23587</v>
      </c>
      <c r="E141" s="2">
        <v>1.69855</v>
      </c>
      <c r="F141" s="2">
        <v>50</v>
      </c>
      <c r="G141" s="2">
        <v>4.166666666666667</v>
      </c>
      <c r="H141" s="2">
        <v>1.5989199999999999</v>
      </c>
      <c r="I141" s="8">
        <v>768.61500000000001</v>
      </c>
      <c r="J141">
        <v>2.2819830373401243E-2</v>
      </c>
      <c r="K141">
        <v>1.9430470835054833E-2</v>
      </c>
      <c r="L141">
        <f t="shared" si="6"/>
        <v>2.2819830373401242</v>
      </c>
      <c r="M141">
        <f t="shared" si="7"/>
        <v>1.9430470835054832</v>
      </c>
      <c r="N141">
        <v>1.0388520863527078</v>
      </c>
      <c r="O141">
        <f t="shared" si="8"/>
        <v>-0.25431970607545207</v>
      </c>
      <c r="P141" s="2">
        <f t="shared" si="9"/>
        <v>1.0462799999999999</v>
      </c>
      <c r="Q141" s="7">
        <f>IF(MONTH(A141) = 1, 1, 0)</f>
        <v>0</v>
      </c>
      <c r="R141">
        <f>IF(MONTH(A141) = 4, 1, 0)</f>
        <v>0</v>
      </c>
      <c r="S141">
        <f>IF(MONTH(A141) = 7, 1, 0)</f>
        <v>0</v>
      </c>
      <c r="T141">
        <f>IF(MONTH(A141) = 10, 1, 0)</f>
        <v>1</v>
      </c>
      <c r="U141" s="2">
        <v>-0.30197000000000002</v>
      </c>
    </row>
    <row r="142" spans="1:21" x14ac:dyDescent="0.15">
      <c r="A142" s="11">
        <v>43101</v>
      </c>
      <c r="B142" s="2">
        <v>0.72208000000000006</v>
      </c>
      <c r="C142" s="2">
        <v>0.46298</v>
      </c>
      <c r="D142" s="2">
        <v>0.4677</v>
      </c>
      <c r="E142" s="2">
        <v>1.42913</v>
      </c>
      <c r="F142" s="2">
        <v>44.44444</v>
      </c>
      <c r="G142" s="2">
        <v>4.0333333333333332</v>
      </c>
      <c r="H142" s="2">
        <v>1.3070200000000001</v>
      </c>
      <c r="I142" s="8">
        <v>864.69899999999996</v>
      </c>
      <c r="J142">
        <v>1.9105596905322344E-2</v>
      </c>
      <c r="K142">
        <v>1.9999974413975732E-2</v>
      </c>
      <c r="L142">
        <f t="shared" si="6"/>
        <v>1.9105596905322344</v>
      </c>
      <c r="M142">
        <f t="shared" si="7"/>
        <v>1.9999974413975732</v>
      </c>
      <c r="N142">
        <v>1.0716154281735095</v>
      </c>
      <c r="O142">
        <f t="shared" si="8"/>
        <v>-0.30619054198438556</v>
      </c>
      <c r="P142" s="2">
        <f t="shared" si="9"/>
        <v>0.31774000000000002</v>
      </c>
      <c r="Q142" s="7">
        <f>IF(MONTH(A142) = 1, 1, 0)</f>
        <v>1</v>
      </c>
      <c r="R142">
        <f>IF(MONTH(A142) = 4, 1, 0)</f>
        <v>0</v>
      </c>
      <c r="S142">
        <f>IF(MONTH(A142) = 7, 1, 0)</f>
        <v>0</v>
      </c>
      <c r="T142">
        <f>IF(MONTH(A142) = 10, 1, 0)</f>
        <v>0</v>
      </c>
      <c r="U142" s="2">
        <v>0.10723000000000001</v>
      </c>
    </row>
    <row r="143" spans="1:21" x14ac:dyDescent="0.15">
      <c r="A143" s="11">
        <v>43191</v>
      </c>
      <c r="B143" s="2">
        <v>0.51981999999999995</v>
      </c>
      <c r="C143" s="2">
        <v>-0.27757999999999999</v>
      </c>
      <c r="D143" s="2">
        <v>0.33567000000000002</v>
      </c>
      <c r="E143" s="2">
        <v>1.06365</v>
      </c>
      <c r="F143" s="2">
        <v>-15.38462</v>
      </c>
      <c r="G143" s="2">
        <v>3.9333333333333331</v>
      </c>
      <c r="H143" s="2">
        <v>0.97419999999999995</v>
      </c>
      <c r="I143" s="8">
        <v>931.50300000000004</v>
      </c>
      <c r="J143">
        <v>1.8018564840747892E-2</v>
      </c>
      <c r="K143">
        <v>2.0406281438800081E-2</v>
      </c>
      <c r="L143">
        <f t="shared" si="6"/>
        <v>1.8018564840747893</v>
      </c>
      <c r="M143">
        <f t="shared" si="7"/>
        <v>2.0406281438800082</v>
      </c>
      <c r="N143">
        <v>0.85594528052056151</v>
      </c>
      <c r="O143">
        <f t="shared" si="8"/>
        <v>-0.2365469341601435</v>
      </c>
      <c r="P143" s="2">
        <f t="shared" si="9"/>
        <v>0.86535999999999991</v>
      </c>
      <c r="Q143" s="7">
        <f>IF(MONTH(A143) = 1, 1, 0)</f>
        <v>0</v>
      </c>
      <c r="R143">
        <f>IF(MONTH(A143) = 4, 1, 0)</f>
        <v>1</v>
      </c>
      <c r="S143">
        <f>IF(MONTH(A143) = 7, 1, 0)</f>
        <v>0</v>
      </c>
      <c r="T143">
        <f>IF(MONTH(A143) = 10, 1, 0)</f>
        <v>0</v>
      </c>
      <c r="U143" s="2">
        <v>-0.57903000000000004</v>
      </c>
    </row>
    <row r="144" spans="1:21" x14ac:dyDescent="0.15">
      <c r="A144" s="11">
        <v>43282</v>
      </c>
      <c r="B144" s="2">
        <v>0.36101</v>
      </c>
      <c r="C144" s="2">
        <v>-0.70862999999999998</v>
      </c>
      <c r="D144" s="2">
        <v>0.35258</v>
      </c>
      <c r="E144" s="2">
        <v>0.79857999999999996</v>
      </c>
      <c r="F144" s="2">
        <v>-40.909089999999999</v>
      </c>
      <c r="G144" s="2">
        <v>3.7666666666666666</v>
      </c>
      <c r="H144" s="2">
        <v>-2.6079999999999999E-2</v>
      </c>
      <c r="I144" s="8">
        <v>881.38900000000001</v>
      </c>
      <c r="J144">
        <v>2.2205206710704205E-2</v>
      </c>
      <c r="K144">
        <v>2.124077575738062E-2</v>
      </c>
      <c r="L144">
        <f t="shared" si="6"/>
        <v>2.2205206710704206</v>
      </c>
      <c r="M144">
        <f t="shared" si="7"/>
        <v>2.1240775757380619</v>
      </c>
      <c r="N144">
        <v>0.83650415169967829</v>
      </c>
      <c r="O144">
        <f t="shared" si="8"/>
        <v>-0.25101951325874716</v>
      </c>
      <c r="P144" s="2">
        <f t="shared" si="9"/>
        <v>-0.32506999999999997</v>
      </c>
      <c r="Q144" s="7">
        <f>IF(MONTH(A144) = 1, 1, 0)</f>
        <v>0</v>
      </c>
      <c r="R144">
        <f>IF(MONTH(A144) = 4, 1, 0)</f>
        <v>0</v>
      </c>
      <c r="S144">
        <f>IF(MONTH(A144) = 7, 1, 0)</f>
        <v>1</v>
      </c>
      <c r="T144">
        <f>IF(MONTH(A144) = 10, 1, 0)</f>
        <v>0</v>
      </c>
      <c r="U144" s="2">
        <v>-1.29925</v>
      </c>
    </row>
    <row r="145" spans="1:21" x14ac:dyDescent="0.15">
      <c r="A145" s="11">
        <v>43374</v>
      </c>
      <c r="B145" s="2">
        <v>0.57638999999999996</v>
      </c>
      <c r="C145" s="2">
        <v>0.72636000000000001</v>
      </c>
      <c r="D145" s="2">
        <v>0.2271</v>
      </c>
      <c r="E145" s="2">
        <v>0.69274999999999998</v>
      </c>
      <c r="F145" s="2">
        <v>46.153849999999998</v>
      </c>
      <c r="G145" s="2">
        <v>3.8333333333333335</v>
      </c>
      <c r="H145" s="2">
        <v>-1.17371</v>
      </c>
      <c r="I145" s="8">
        <v>669.31500000000005</v>
      </c>
      <c r="J145">
        <v>2.1200842788934953E-2</v>
      </c>
      <c r="K145">
        <v>2.137434581614121E-2</v>
      </c>
      <c r="L145">
        <f t="shared" si="6"/>
        <v>2.1200842788934953</v>
      </c>
      <c r="M145">
        <f t="shared" si="7"/>
        <v>2.1374345816141211</v>
      </c>
      <c r="N145">
        <v>0.81474317335273294</v>
      </c>
      <c r="O145">
        <f t="shared" si="8"/>
        <v>-0.22410891299997482</v>
      </c>
      <c r="P145" s="2">
        <f t="shared" si="9"/>
        <v>-2.7726299999999999</v>
      </c>
      <c r="Q145" s="7">
        <f>IF(MONTH(A145) = 1, 1, 0)</f>
        <v>0</v>
      </c>
      <c r="R145">
        <f>IF(MONTH(A145) = 4, 1, 0)</f>
        <v>0</v>
      </c>
      <c r="S145">
        <f>IF(MONTH(A145) = 7, 1, 0)</f>
        <v>0</v>
      </c>
      <c r="T145">
        <f>IF(MONTH(A145) = 10, 1, 0)</f>
        <v>1</v>
      </c>
      <c r="U145" s="2">
        <v>4.0873100000000004</v>
      </c>
    </row>
    <row r="146" spans="1:21" x14ac:dyDescent="0.15">
      <c r="A146" s="11">
        <v>43466</v>
      </c>
      <c r="B146" s="2">
        <v>0.65517000000000003</v>
      </c>
      <c r="C146" s="2">
        <v>0.16594999999999999</v>
      </c>
      <c r="D146" s="2">
        <v>0.97075</v>
      </c>
      <c r="E146" s="2">
        <v>0.34611999999999998</v>
      </c>
      <c r="F146" s="2">
        <v>-15.78947</v>
      </c>
      <c r="G146" s="2">
        <v>3.8666666666666667</v>
      </c>
      <c r="H146" s="2">
        <v>-0.47505999999999998</v>
      </c>
      <c r="I146" s="8">
        <v>607.97500000000002</v>
      </c>
      <c r="J146">
        <v>1.6562379161294154E-2</v>
      </c>
      <c r="K146">
        <v>1.8736988560674853E-2</v>
      </c>
      <c r="L146">
        <f t="shared" si="6"/>
        <v>1.6562379161294154</v>
      </c>
      <c r="M146">
        <f t="shared" si="7"/>
        <v>1.8736988560674854</v>
      </c>
      <c r="N146">
        <v>0.93981869985141309</v>
      </c>
      <c r="O146">
        <f t="shared" si="8"/>
        <v>-0.13179672832209643</v>
      </c>
      <c r="P146" s="2">
        <f t="shared" si="9"/>
        <v>-1.7820800000000001</v>
      </c>
      <c r="Q146" s="7">
        <f>IF(MONTH(A146) = 1, 1, 0)</f>
        <v>1</v>
      </c>
      <c r="R146">
        <f>IF(MONTH(A146) = 4, 1, 0)</f>
        <v>0</v>
      </c>
      <c r="S146">
        <f>IF(MONTH(A146) = 7, 1, 0)</f>
        <v>0</v>
      </c>
      <c r="T146">
        <f>IF(MONTH(A146) = 10, 1, 0)</f>
        <v>0</v>
      </c>
      <c r="U146" s="2">
        <v>2.0233400000000001</v>
      </c>
    </row>
    <row r="147" spans="1:21" x14ac:dyDescent="0.15">
      <c r="A147" s="11">
        <v>43556</v>
      </c>
      <c r="B147" s="2">
        <v>0.43828</v>
      </c>
      <c r="C147" s="2">
        <v>-0.48365000000000002</v>
      </c>
      <c r="D147" s="2">
        <v>0.32656000000000002</v>
      </c>
      <c r="E147" s="2">
        <v>1.33423</v>
      </c>
      <c r="F147" s="2">
        <v>12.5</v>
      </c>
      <c r="G147" s="2">
        <v>3.6333333333333333</v>
      </c>
      <c r="H147" s="2">
        <v>0.60992000000000002</v>
      </c>
      <c r="I147" s="8">
        <v>653.44200000000001</v>
      </c>
      <c r="J147">
        <v>1.9438868748743437E-2</v>
      </c>
      <c r="K147">
        <v>1.7290286863258526E-2</v>
      </c>
      <c r="L147">
        <f t="shared" si="6"/>
        <v>1.9438868748743436</v>
      </c>
      <c r="M147">
        <f t="shared" si="7"/>
        <v>1.7290286863258526</v>
      </c>
      <c r="N147">
        <v>0.77494058535693722</v>
      </c>
      <c r="O147">
        <f t="shared" si="8"/>
        <v>-8.1004695163624296E-2</v>
      </c>
      <c r="P147" s="2">
        <f t="shared" si="9"/>
        <v>-0.36427999999999994</v>
      </c>
      <c r="Q147" s="7">
        <f>IF(MONTH(A147) = 1, 1, 0)</f>
        <v>0</v>
      </c>
      <c r="R147">
        <f>IF(MONTH(A147) = 4, 1, 0)</f>
        <v>1</v>
      </c>
      <c r="S147">
        <f>IF(MONTH(A147) = 7, 1, 0)</f>
        <v>0</v>
      </c>
      <c r="T147">
        <f>IF(MONTH(A147) = 10, 1, 0)</f>
        <v>0</v>
      </c>
      <c r="U147" s="2">
        <v>1.2719499999999999</v>
      </c>
    </row>
    <row r="148" spans="1:21" x14ac:dyDescent="0.15">
      <c r="A148" s="11">
        <v>43647</v>
      </c>
      <c r="B148" s="2">
        <v>0.58352000000000004</v>
      </c>
      <c r="C148" s="2">
        <v>-0.29887000000000002</v>
      </c>
      <c r="D148" s="2">
        <v>0.22549</v>
      </c>
      <c r="E148" s="2">
        <v>1.2620199999999999</v>
      </c>
      <c r="F148" s="2">
        <v>-16.66667</v>
      </c>
      <c r="G148" s="2">
        <v>3.6</v>
      </c>
      <c r="H148" s="2">
        <v>-1.0279400000000001</v>
      </c>
      <c r="I148" s="8">
        <v>718.75599999999997</v>
      </c>
      <c r="J148">
        <v>1.7023068543265605E-2</v>
      </c>
      <c r="K148">
        <v>1.6318809216905407E-2</v>
      </c>
      <c r="L148">
        <f t="shared" si="6"/>
        <v>1.7023068543265605</v>
      </c>
      <c r="M148">
        <f t="shared" si="7"/>
        <v>1.6318809216905408</v>
      </c>
      <c r="N148">
        <v>0.82496613633492188</v>
      </c>
      <c r="O148">
        <f t="shared" si="8"/>
        <v>-1.1538015364756404E-2</v>
      </c>
      <c r="P148" s="2">
        <f t="shared" si="9"/>
        <v>-1.00186</v>
      </c>
      <c r="Q148" s="7">
        <f>IF(MONTH(A148) = 1, 1, 0)</f>
        <v>0</v>
      </c>
      <c r="R148">
        <f>IF(MONTH(A148) = 4, 1, 0)</f>
        <v>0</v>
      </c>
      <c r="S148">
        <f>IF(MONTH(A148) = 7, 1, 0)</f>
        <v>1</v>
      </c>
      <c r="T148">
        <f>IF(MONTH(A148) = 10, 1, 0)</f>
        <v>0</v>
      </c>
      <c r="U148" s="2">
        <v>2.9441199999999998</v>
      </c>
    </row>
    <row r="149" spans="1:21" x14ac:dyDescent="0.15">
      <c r="A149" s="11">
        <v>43739</v>
      </c>
      <c r="B149" s="2">
        <v>0.63078999999999996</v>
      </c>
      <c r="C149" s="2">
        <v>0.16647999999999999</v>
      </c>
      <c r="D149" s="2">
        <v>0.42481999999999998</v>
      </c>
      <c r="E149" s="2">
        <v>1.0350600000000001</v>
      </c>
      <c r="F149" s="2">
        <v>-13.33333</v>
      </c>
      <c r="G149" s="2">
        <v>3.6</v>
      </c>
      <c r="H149" s="2">
        <v>-0.34621000000000002</v>
      </c>
      <c r="I149" s="8">
        <v>778.73699999999997</v>
      </c>
      <c r="J149">
        <v>1.7085620147393187E-2</v>
      </c>
      <c r="K149">
        <v>1.6786218533114076E-2</v>
      </c>
      <c r="L149">
        <f t="shared" si="6"/>
        <v>1.7085620147393188</v>
      </c>
      <c r="M149">
        <f t="shared" si="7"/>
        <v>1.6786218533114077</v>
      </c>
      <c r="N149">
        <v>0.82617495856904666</v>
      </c>
      <c r="O149">
        <f t="shared" si="8"/>
        <v>1.1431785216313717E-2</v>
      </c>
      <c r="P149" s="2">
        <f t="shared" si="9"/>
        <v>0.82750000000000001</v>
      </c>
      <c r="Q149" s="7">
        <f>IF(MONTH(A149) = 1, 1, 0)</f>
        <v>0</v>
      </c>
      <c r="R149">
        <f>IF(MONTH(A149) = 4, 1, 0)</f>
        <v>0</v>
      </c>
      <c r="S149">
        <f>IF(MONTH(A149) = 7, 1, 0)</f>
        <v>0</v>
      </c>
      <c r="T149">
        <f>IF(MONTH(A149) = 10, 1, 0)</f>
        <v>1</v>
      </c>
      <c r="U149" s="2">
        <v>10.52962</v>
      </c>
    </row>
    <row r="150" spans="1:21" x14ac:dyDescent="0.15">
      <c r="A150" s="11">
        <v>43831</v>
      </c>
      <c r="B150" s="2">
        <v>0.58126999999999995</v>
      </c>
      <c r="C150" s="2">
        <v>0.24792</v>
      </c>
      <c r="D150" s="2">
        <v>0.86260000000000003</v>
      </c>
      <c r="E150" s="2">
        <v>-1.32829</v>
      </c>
      <c r="F150" s="2">
        <v>30.76923</v>
      </c>
      <c r="G150" s="2">
        <v>3.8333333333333335</v>
      </c>
      <c r="H150" s="2">
        <v>-0.90861000000000003</v>
      </c>
      <c r="I150" s="8">
        <v>323.20400000000001</v>
      </c>
      <c r="J150">
        <v>1.4767156328715466E-2</v>
      </c>
      <c r="K150">
        <v>1.5411520487295867E-2</v>
      </c>
      <c r="L150">
        <f t="shared" si="6"/>
        <v>1.4767156328715467</v>
      </c>
      <c r="M150">
        <f t="shared" si="7"/>
        <v>1.5411520487295867</v>
      </c>
      <c r="N150">
        <v>1.0455574273615973</v>
      </c>
      <c r="O150">
        <f t="shared" si="8"/>
        <v>0.10573872751018421</v>
      </c>
      <c r="P150" s="2">
        <f t="shared" si="9"/>
        <v>-0.43355000000000005</v>
      </c>
      <c r="Q150" s="7">
        <f>IF(MONTH(A150) = 1, 1, 0)</f>
        <v>1</v>
      </c>
      <c r="R150">
        <f>IF(MONTH(A150) = 4, 1, 0)</f>
        <v>0</v>
      </c>
      <c r="S150">
        <f>IF(MONTH(A150) = 7, 1, 0)</f>
        <v>0</v>
      </c>
      <c r="T150">
        <f>IF(MONTH(A150) = 10, 1, 0)</f>
        <v>0</v>
      </c>
      <c r="U150" s="2">
        <v>27.94782</v>
      </c>
    </row>
    <row r="151" spans="1:21" x14ac:dyDescent="0.15">
      <c r="A151" s="11">
        <v>43922</v>
      </c>
      <c r="B151" s="2">
        <v>-0.50826000000000005</v>
      </c>
      <c r="C151" s="2">
        <v>-0.13486000000000001</v>
      </c>
      <c r="D151" s="2">
        <v>2.4597699999999998</v>
      </c>
      <c r="E151" s="2">
        <v>-9.0111799999999995</v>
      </c>
      <c r="F151" s="2">
        <v>-147.05882</v>
      </c>
      <c r="G151" s="2">
        <v>13</v>
      </c>
      <c r="H151" s="2">
        <v>-3.5059300000000002</v>
      </c>
      <c r="I151" s="8">
        <v>-1613.124</v>
      </c>
      <c r="J151">
        <v>8.1204360100080959E-4</v>
      </c>
      <c r="K151">
        <v>1.1841864133791173E-2</v>
      </c>
      <c r="L151">
        <f t="shared" si="6"/>
        <v>8.1204360100080961E-2</v>
      </c>
      <c r="M151">
        <f t="shared" si="7"/>
        <v>1.1841864133791173</v>
      </c>
      <c r="N151">
        <v>3.7231597814697923</v>
      </c>
      <c r="O151">
        <f t="shared" si="8"/>
        <v>2.9482191961128552</v>
      </c>
      <c r="P151" s="2">
        <f t="shared" si="9"/>
        <v>-4.11585</v>
      </c>
      <c r="Q151" s="7">
        <f>IF(MONTH(A151) = 1, 1, 0)</f>
        <v>0</v>
      </c>
      <c r="R151">
        <f>IF(MONTH(A151) = 4, 1, 0)</f>
        <v>1</v>
      </c>
      <c r="S151">
        <f>IF(MONTH(A151) = 7, 1, 0)</f>
        <v>0</v>
      </c>
      <c r="T151">
        <f>IF(MONTH(A151) = 10, 1, 0)</f>
        <v>0</v>
      </c>
      <c r="U151" s="2">
        <v>14.76759</v>
      </c>
    </row>
    <row r="152" spans="1:21" x14ac:dyDescent="0.15">
      <c r="A152" s="11">
        <v>44013</v>
      </c>
      <c r="B152" s="2">
        <v>0.94932000000000005</v>
      </c>
      <c r="C152" s="2">
        <v>0.19306000000000001</v>
      </c>
      <c r="D152" s="2">
        <v>0.26573000000000002</v>
      </c>
      <c r="E152" s="2">
        <v>9.7747700000000002</v>
      </c>
      <c r="F152" s="2">
        <v>-487.5</v>
      </c>
      <c r="G152" s="2">
        <v>8.8000000000000007</v>
      </c>
      <c r="H152" s="2">
        <v>3.0463900000000002</v>
      </c>
      <c r="I152" s="8">
        <v>-239.893</v>
      </c>
      <c r="J152">
        <v>1.6105125356818573E-2</v>
      </c>
      <c r="K152">
        <v>1.346285164707213E-2</v>
      </c>
      <c r="L152">
        <f t="shared" si="6"/>
        <v>1.6105125356818573</v>
      </c>
      <c r="M152">
        <f t="shared" si="7"/>
        <v>1.3462851647072129</v>
      </c>
      <c r="N152">
        <v>2.0908826118052661</v>
      </c>
      <c r="O152">
        <f t="shared" si="8"/>
        <v>1.2659164754703442</v>
      </c>
      <c r="P152" s="2">
        <f t="shared" si="9"/>
        <v>4.0743299999999998</v>
      </c>
      <c r="Q152" s="7">
        <f>IF(MONTH(A152) = 1, 1, 0)</f>
        <v>0</v>
      </c>
      <c r="R152">
        <f>IF(MONTH(A152) = 4, 1, 0)</f>
        <v>0</v>
      </c>
      <c r="S152">
        <f>IF(MONTH(A152) = 7, 1, 0)</f>
        <v>1</v>
      </c>
      <c r="T152">
        <f>IF(MONTH(A152) = 10, 1, 0)</f>
        <v>0</v>
      </c>
      <c r="U152" s="2">
        <v>-12.22845</v>
      </c>
    </row>
    <row r="153" spans="1:21" x14ac:dyDescent="0.15">
      <c r="A153" s="11">
        <v>44105</v>
      </c>
      <c r="B153" s="2">
        <v>0.61192999999999997</v>
      </c>
      <c r="C153" s="2">
        <v>1.68923</v>
      </c>
      <c r="D153" s="2">
        <v>0.22488</v>
      </c>
      <c r="E153" s="2">
        <v>1.8714</v>
      </c>
      <c r="F153" s="2">
        <v>-41.935479999999998</v>
      </c>
      <c r="G153" s="2">
        <v>6.7333333333333334</v>
      </c>
      <c r="H153" s="2">
        <v>0.70518000000000003</v>
      </c>
      <c r="I153" s="8">
        <v>-66.191000000000003</v>
      </c>
      <c r="J153">
        <v>1.4888628113434993E-2</v>
      </c>
      <c r="K153">
        <v>1.3771135836880556E-2</v>
      </c>
      <c r="L153">
        <f t="shared" si="6"/>
        <v>1.4888628113434994</v>
      </c>
      <c r="M153">
        <f t="shared" si="7"/>
        <v>1.3771135836880557</v>
      </c>
      <c r="N153">
        <v>1.5850844942255338</v>
      </c>
      <c r="O153">
        <f t="shared" si="8"/>
        <v>0.75890953565648711</v>
      </c>
      <c r="P153" s="2">
        <f t="shared" si="9"/>
        <v>1.05139</v>
      </c>
      <c r="Q153" s="7">
        <f>IF(MONTH(A153) = 1, 1, 0)</f>
        <v>0</v>
      </c>
      <c r="R153">
        <f>IF(MONTH(A153) = 4, 1, 0)</f>
        <v>0</v>
      </c>
      <c r="S153">
        <f>IF(MONTH(A153) = 7, 1, 0)</f>
        <v>0</v>
      </c>
      <c r="T153">
        <f>IF(MONTH(A153) = 10, 1, 0)</f>
        <v>1</v>
      </c>
      <c r="U153" s="2">
        <v>-11.46062</v>
      </c>
    </row>
    <row r="154" spans="1:21" x14ac:dyDescent="0.15">
      <c r="A154" s="11">
        <v>44197</v>
      </c>
      <c r="B154" s="2">
        <v>0.38401999999999997</v>
      </c>
      <c r="C154" s="2">
        <v>1.2710900000000001</v>
      </c>
      <c r="D154" s="2">
        <v>0.64197000000000004</v>
      </c>
      <c r="E154" s="2">
        <v>3.3340800000000002</v>
      </c>
      <c r="F154" s="2">
        <v>100</v>
      </c>
      <c r="G154" s="2">
        <v>6.2333333333333334</v>
      </c>
      <c r="H154" s="2">
        <v>3.5281400000000001</v>
      </c>
      <c r="I154" s="8">
        <v>755.12800000000004</v>
      </c>
      <c r="J154">
        <v>1.54513912491213E-2</v>
      </c>
      <c r="K154">
        <v>1.4348011419799916E-2</v>
      </c>
      <c r="L154">
        <f t="shared" si="6"/>
        <v>1.54513912491213</v>
      </c>
      <c r="M154">
        <f t="shared" si="7"/>
        <v>1.4348011419799915</v>
      </c>
      <c r="N154">
        <v>1.3718374667935642</v>
      </c>
      <c r="O154">
        <f t="shared" si="8"/>
        <v>0.32628003943196693</v>
      </c>
      <c r="P154" s="2">
        <f t="shared" si="9"/>
        <v>4.43675</v>
      </c>
      <c r="Q154" s="7">
        <f>IF(MONTH(A154) = 1, 1, 0)</f>
        <v>1</v>
      </c>
      <c r="R154">
        <f>IF(MONTH(A154) = 4, 1, 0)</f>
        <v>0</v>
      </c>
      <c r="S154">
        <f>IF(MONTH(A154) = 7, 1, 0)</f>
        <v>0</v>
      </c>
      <c r="T154">
        <f>IF(MONTH(A154) = 10, 1, 0)</f>
        <v>0</v>
      </c>
      <c r="U154" s="2">
        <v>-0.13913</v>
      </c>
    </row>
    <row r="155" spans="1:21" x14ac:dyDescent="0.15">
      <c r="A155" s="11">
        <v>44287</v>
      </c>
      <c r="B155" s="2">
        <v>1.7285699999999999</v>
      </c>
      <c r="C155" s="2">
        <v>2.8496999999999999</v>
      </c>
      <c r="D155" s="2">
        <v>1.15402</v>
      </c>
      <c r="E155" s="2">
        <v>4.81785</v>
      </c>
      <c r="F155" s="2">
        <v>66.666669999999996</v>
      </c>
      <c r="G155" s="2">
        <v>5.9333333333333336</v>
      </c>
      <c r="H155" s="2">
        <v>3.5640000000000001</v>
      </c>
      <c r="I155" s="8">
        <v>3024.46</v>
      </c>
      <c r="J155">
        <v>1.8927044291403211E-2</v>
      </c>
      <c r="K155">
        <v>1.5859295327069086E-2</v>
      </c>
      <c r="L155">
        <f t="shared" si="6"/>
        <v>1.8927044291403212</v>
      </c>
      <c r="M155">
        <f t="shared" si="7"/>
        <v>1.5859295327069085</v>
      </c>
      <c r="N155">
        <v>0.94221207801626894</v>
      </c>
      <c r="O155">
        <f t="shared" si="8"/>
        <v>-2.7809477034535233</v>
      </c>
      <c r="P155" s="2">
        <f t="shared" si="9"/>
        <v>7.0699300000000003</v>
      </c>
      <c r="Q155" s="7">
        <f>IF(MONTH(A155) = 1, 1, 0)</f>
        <v>0</v>
      </c>
      <c r="R155">
        <f>IF(MONTH(A155) = 4, 1, 0)</f>
        <v>1</v>
      </c>
      <c r="S155">
        <f>IF(MONTH(A155) = 7, 1, 0)</f>
        <v>0</v>
      </c>
      <c r="T155">
        <f>IF(MONTH(A155) = 10, 1, 0)</f>
        <v>0</v>
      </c>
      <c r="U155" s="2">
        <v>-4.5049299999999999</v>
      </c>
    </row>
    <row r="156" spans="1:21" x14ac:dyDescent="0.15">
      <c r="A156" s="11">
        <v>44378</v>
      </c>
      <c r="B156" s="2">
        <v>1.2786299999999999</v>
      </c>
      <c r="C156" s="2">
        <v>2.19068</v>
      </c>
      <c r="D156" s="2">
        <v>1.8530500000000001</v>
      </c>
      <c r="E156" s="2">
        <v>2.0953900000000001</v>
      </c>
      <c r="F156" s="2">
        <v>-20</v>
      </c>
      <c r="G156" s="2">
        <v>5.0666666666666664</v>
      </c>
      <c r="H156" s="2">
        <v>1.4318</v>
      </c>
      <c r="I156" s="8">
        <v>1835.8789999999999</v>
      </c>
      <c r="J156">
        <v>2.4065552763272043E-2</v>
      </c>
      <c r="K156">
        <v>1.6159198641212531E-2</v>
      </c>
      <c r="L156">
        <f t="shared" si="6"/>
        <v>2.4065552763272042</v>
      </c>
      <c r="M156">
        <f t="shared" si="7"/>
        <v>1.6159198641212531</v>
      </c>
      <c r="N156">
        <v>0.73965318456786411</v>
      </c>
      <c r="O156">
        <f t="shared" si="8"/>
        <v>-1.3512294272374019</v>
      </c>
      <c r="P156" s="2">
        <f t="shared" si="9"/>
        <v>-1.6145900000000002</v>
      </c>
      <c r="Q156" s="7">
        <f>IF(MONTH(A156) = 1, 1, 0)</f>
        <v>0</v>
      </c>
      <c r="R156">
        <f>IF(MONTH(A156) = 4, 1, 0)</f>
        <v>0</v>
      </c>
      <c r="S156">
        <f>IF(MONTH(A156) = 7, 1, 0)</f>
        <v>1</v>
      </c>
      <c r="T156">
        <f>IF(MONTH(A156) = 10, 1, 0)</f>
        <v>0</v>
      </c>
      <c r="U156" s="2">
        <v>-2.81481</v>
      </c>
    </row>
    <row r="157" spans="1:21" x14ac:dyDescent="0.15">
      <c r="A157" s="11">
        <v>44470</v>
      </c>
      <c r="B157" s="2">
        <v>1.5432699999999999</v>
      </c>
      <c r="C157" s="2">
        <v>3.92489</v>
      </c>
      <c r="D157" s="2">
        <v>2.1352699999999998</v>
      </c>
      <c r="E157" s="2">
        <v>2.6594899999999999</v>
      </c>
      <c r="F157" s="2">
        <v>8.3333300000000001</v>
      </c>
      <c r="G157" s="2">
        <v>4.166666666666667</v>
      </c>
      <c r="H157" s="2">
        <v>2.0802399999999999</v>
      </c>
      <c r="I157" s="8">
        <v>2293.5189999999998</v>
      </c>
      <c r="J157">
        <v>2.3181722208964032E-2</v>
      </c>
      <c r="K157">
        <v>1.7100703537761167E-2</v>
      </c>
      <c r="L157">
        <f t="shared" si="6"/>
        <v>2.3181722208964031</v>
      </c>
      <c r="M157">
        <f t="shared" si="7"/>
        <v>1.7100703537761168</v>
      </c>
      <c r="N157">
        <v>0.57537077577912032</v>
      </c>
      <c r="O157">
        <f t="shared" si="8"/>
        <v>-1.0097137184464136</v>
      </c>
      <c r="P157" s="2">
        <f t="shared" si="9"/>
        <v>1.3750599999999999</v>
      </c>
      <c r="Q157" s="7">
        <f>IF(MONTH(A157) = 1, 1, 0)</f>
        <v>0</v>
      </c>
      <c r="R157">
        <f>IF(MONTH(A157) = 4, 1, 0)</f>
        <v>0</v>
      </c>
      <c r="S157">
        <f>IF(MONTH(A157) = 7, 1, 0)</f>
        <v>0</v>
      </c>
      <c r="T157">
        <f>IF(MONTH(A157) = 10, 1, 0)</f>
        <v>1</v>
      </c>
      <c r="U157" s="2">
        <v>-0.91788999999999998</v>
      </c>
    </row>
    <row r="158" spans="1:21" x14ac:dyDescent="0.15">
      <c r="A158" s="11">
        <v>44562</v>
      </c>
      <c r="B158" s="2">
        <v>1.63507</v>
      </c>
      <c r="C158" s="2">
        <v>3.3879600000000001</v>
      </c>
      <c r="D158" s="2">
        <v>2.5232399999999999</v>
      </c>
      <c r="E158" s="2">
        <v>1.8688199999999999</v>
      </c>
      <c r="F158" s="2">
        <v>15.38462</v>
      </c>
      <c r="G158" s="2">
        <v>3.8</v>
      </c>
      <c r="H158" s="2">
        <v>4.1969900000000004</v>
      </c>
      <c r="I158" s="8">
        <v>2034.5830000000001</v>
      </c>
      <c r="J158">
        <v>2.6422920475067876E-2</v>
      </c>
      <c r="K158">
        <v>1.8883005304965849E-2</v>
      </c>
      <c r="L158">
        <f t="shared" si="6"/>
        <v>2.6422920475067877</v>
      </c>
      <c r="M158">
        <f t="shared" si="7"/>
        <v>1.888300530496585</v>
      </c>
      <c r="N158">
        <v>0.58504816060715004</v>
      </c>
      <c r="O158">
        <f t="shared" si="8"/>
        <v>-0.78678930618641418</v>
      </c>
      <c r="P158" s="2">
        <f t="shared" si="9"/>
        <v>0.66885000000000039</v>
      </c>
      <c r="Q158" s="7">
        <f>IF(MONTH(A158) = 1, 1, 0)</f>
        <v>1</v>
      </c>
      <c r="R158">
        <f>IF(MONTH(A158) = 4, 1, 0)</f>
        <v>0</v>
      </c>
      <c r="S158">
        <f>IF(MONTH(A158) = 7, 1, 0)</f>
        <v>0</v>
      </c>
      <c r="T158">
        <f>IF(MONTH(A158) = 10, 1, 0)</f>
        <v>0</v>
      </c>
      <c r="U158" s="2">
        <v>4.1869899999999998</v>
      </c>
    </row>
    <row r="159" spans="1:21" x14ac:dyDescent="0.15">
      <c r="A159" s="11">
        <v>44652</v>
      </c>
      <c r="B159" s="2">
        <v>1.43727</v>
      </c>
      <c r="C159" s="2">
        <v>6.2577999999999996</v>
      </c>
      <c r="D159" s="2">
        <v>3.1306099999999999</v>
      </c>
      <c r="E159" s="2">
        <v>2.2574999999999998</v>
      </c>
      <c r="F159" s="2">
        <v>-21.66667</v>
      </c>
      <c r="G159" s="2">
        <v>3.6333333333333333</v>
      </c>
      <c r="H159" s="2">
        <v>3.42258</v>
      </c>
      <c r="I159" s="8">
        <v>1864.548</v>
      </c>
      <c r="J159">
        <v>3.7514248774649324E-2</v>
      </c>
      <c r="K159">
        <v>2.3276375193522075E-2</v>
      </c>
      <c r="L159">
        <f t="shared" si="6"/>
        <v>3.7514248774649324</v>
      </c>
      <c r="M159">
        <f t="shared" si="7"/>
        <v>2.3276375193522076</v>
      </c>
      <c r="N159">
        <v>0.50570745382851179</v>
      </c>
      <c r="O159">
        <f t="shared" si="8"/>
        <v>-0.43650462418775715</v>
      </c>
      <c r="P159" s="2">
        <f t="shared" si="9"/>
        <v>-0.1414200000000001</v>
      </c>
      <c r="Q159" s="7">
        <f>IF(MONTH(A159) = 1, 1, 0)</f>
        <v>0</v>
      </c>
      <c r="R159">
        <f>IF(MONTH(A159) = 4, 1, 0)</f>
        <v>1</v>
      </c>
      <c r="S159">
        <f>IF(MONTH(A159) = 7, 1, 0)</f>
        <v>0</v>
      </c>
      <c r="T159">
        <f>IF(MONTH(A159) = 10, 1, 0)</f>
        <v>0</v>
      </c>
      <c r="U159" s="2">
        <v>2.2572999999999999</v>
      </c>
    </row>
    <row r="160" spans="1:21" x14ac:dyDescent="0.15">
      <c r="A160" s="11">
        <v>44743</v>
      </c>
      <c r="B160" s="2">
        <v>1.5228900000000001</v>
      </c>
      <c r="C160" s="2">
        <v>4.75922</v>
      </c>
      <c r="D160" s="2">
        <v>2.9542199999999998</v>
      </c>
      <c r="E160" s="2">
        <v>1.54521</v>
      </c>
      <c r="F160" s="2">
        <v>6.3829799999999999</v>
      </c>
      <c r="G160" s="2">
        <v>3.5333333333333332</v>
      </c>
      <c r="H160" s="2">
        <v>-2.2737500000000002</v>
      </c>
      <c r="I160" s="8">
        <v>1763.115</v>
      </c>
      <c r="J160">
        <v>3.6218530136457441E-2</v>
      </c>
      <c r="K160">
        <v>2.2293846552543375E-2</v>
      </c>
      <c r="L160">
        <f t="shared" si="6"/>
        <v>3.6218530136457443</v>
      </c>
      <c r="M160">
        <f t="shared" si="7"/>
        <v>2.2293846552543375</v>
      </c>
      <c r="N160">
        <v>0.53837395409261934</v>
      </c>
      <c r="O160">
        <f t="shared" si="8"/>
        <v>-0.20127923047524476</v>
      </c>
      <c r="P160" s="2">
        <f t="shared" si="9"/>
        <v>-3.7055500000000001</v>
      </c>
      <c r="Q160" s="7">
        <f>IF(MONTH(A160) = 1, 1, 0)</f>
        <v>0</v>
      </c>
      <c r="R160">
        <f>IF(MONTH(A160) = 4, 1, 0)</f>
        <v>0</v>
      </c>
      <c r="S160">
        <f>IF(MONTH(A160) = 7, 1, 0)</f>
        <v>1</v>
      </c>
      <c r="T160">
        <f>IF(MONTH(A160) = 10, 1, 0)</f>
        <v>0</v>
      </c>
      <c r="U160" s="2">
        <v>-7.1120000000000003E-2</v>
      </c>
    </row>
    <row r="161" spans="1:21" x14ac:dyDescent="0.15">
      <c r="A161" s="11">
        <v>44835</v>
      </c>
      <c r="B161" s="2">
        <v>1.2538400000000001</v>
      </c>
      <c r="C161" s="2">
        <v>-2.5000000000000001E-4</v>
      </c>
      <c r="D161" s="2">
        <v>1.65889</v>
      </c>
      <c r="E161" s="2">
        <v>1.31681</v>
      </c>
      <c r="F161" s="2">
        <v>-6</v>
      </c>
      <c r="G161" s="2">
        <v>3.5666666666666669</v>
      </c>
      <c r="H161" s="2">
        <v>-1.8428899999999999</v>
      </c>
      <c r="I161" s="8">
        <v>1313.2349999999999</v>
      </c>
      <c r="J161">
        <v>2.3482855423691069E-2</v>
      </c>
      <c r="K161">
        <v>0.52353825773052298</v>
      </c>
      <c r="L161">
        <f t="shared" si="6"/>
        <v>2.3482855423691067</v>
      </c>
      <c r="M161">
        <f t="shared" si="7"/>
        <v>52.3538257730523</v>
      </c>
      <c r="N161" s="6">
        <v>0.52277051883800585</v>
      </c>
      <c r="O161">
        <f t="shared" si="8"/>
        <v>-5.2600256941114476E-2</v>
      </c>
      <c r="P161" s="2">
        <f t="shared" si="9"/>
        <v>-3.9231299999999996</v>
      </c>
      <c r="Q161" s="7">
        <f>IF(MONTH(A161) = 1, 1, 0)</f>
        <v>0</v>
      </c>
      <c r="R161">
        <f>IF(MONTH(A161) = 4, 1, 0)</f>
        <v>0</v>
      </c>
      <c r="S161">
        <f>IF(MONTH(A161) = 7, 1, 0)</f>
        <v>0</v>
      </c>
      <c r="T161">
        <f>IF(MONTH(A161) = 10, 1, 0)</f>
        <v>1</v>
      </c>
      <c r="U161" s="2">
        <v>-2.9292799999999999</v>
      </c>
    </row>
    <row r="162" spans="1:21" x14ac:dyDescent="0.15">
      <c r="A162" s="11">
        <v>44927</v>
      </c>
      <c r="B162" s="2">
        <v>1.2073499999999999</v>
      </c>
      <c r="C162" s="2">
        <v>1.10941</v>
      </c>
      <c r="D162" s="2">
        <v>1.3237099999999999</v>
      </c>
      <c r="E162" s="2">
        <v>1.9674</v>
      </c>
      <c r="F162" s="2">
        <v>6.3829799999999999</v>
      </c>
      <c r="G162" s="2">
        <v>3.5</v>
      </c>
      <c r="H162" s="2">
        <v>-0.91527999999999998</v>
      </c>
      <c r="I162" s="8">
        <v>1326.9269999999999</v>
      </c>
      <c r="J162">
        <v>2.2166576128409377E-2</v>
      </c>
      <c r="K162">
        <v>0.64252400356425166</v>
      </c>
      <c r="L162">
        <f t="shared" si="6"/>
        <v>2.2166576128409377</v>
      </c>
      <c r="M162">
        <f t="shared" si="7"/>
        <v>64.25240035642517</v>
      </c>
      <c r="N162" s="6">
        <v>0.64129032258064511</v>
      </c>
      <c r="O162">
        <f t="shared" si="8"/>
        <v>5.6242161973495075E-2</v>
      </c>
      <c r="P162" s="2">
        <f t="shared" si="9"/>
        <v>-5.1122700000000005</v>
      </c>
      <c r="Q162" s="7">
        <f>IF(MONTH(A162) = 1, 1, 0)</f>
        <v>1</v>
      </c>
      <c r="R162">
        <f>IF(MONTH(A162) = 4, 1, 0)</f>
        <v>0</v>
      </c>
      <c r="S162">
        <f>IF(MONTH(A162) = 7, 1, 0)</f>
        <v>0</v>
      </c>
      <c r="T162">
        <f>IF(MONTH(A162) = 10, 1, 0)</f>
        <v>0</v>
      </c>
      <c r="U162" s="2">
        <v>-2.5075599999999998</v>
      </c>
    </row>
    <row r="163" spans="1:21" x14ac:dyDescent="0.15">
      <c r="A163" s="11">
        <v>45017</v>
      </c>
      <c r="B163" s="2">
        <v>1.14974</v>
      </c>
      <c r="C163" s="2">
        <v>-3.5776400000000002</v>
      </c>
      <c r="D163" s="2">
        <v>0.60411999999999999</v>
      </c>
      <c r="E163" s="2">
        <v>0.81794</v>
      </c>
      <c r="F163" s="2">
        <v>-26</v>
      </c>
      <c r="G163" s="2">
        <v>3.5666666666666669</v>
      </c>
      <c r="H163" s="2">
        <v>-0.66318999999999995</v>
      </c>
      <c r="I163" s="8">
        <v>1096.1890000000001</v>
      </c>
      <c r="J163">
        <v>2.0070665180545993E-2</v>
      </c>
      <c r="K163">
        <v>0.60947333262998959</v>
      </c>
      <c r="L163">
        <f t="shared" si="6"/>
        <v>2.0070665180545992</v>
      </c>
      <c r="M163">
        <f t="shared" si="7"/>
        <v>60.94733326299896</v>
      </c>
      <c r="N163" s="6">
        <v>0.60203045685279188</v>
      </c>
      <c r="O163">
        <f t="shared" si="8"/>
        <v>9.6323003024280096E-2</v>
      </c>
      <c r="P163" s="2">
        <f t="shared" si="9"/>
        <v>-4.0857700000000001</v>
      </c>
      <c r="Q163" s="7">
        <f>IF(MONTH(A163) = 1, 1, 0)</f>
        <v>0</v>
      </c>
      <c r="R163">
        <f>IF(MONTH(A163) = 4, 1, 0)</f>
        <v>1</v>
      </c>
      <c r="S163">
        <f>IF(MONTH(A163) = 7, 1, 0)</f>
        <v>0</v>
      </c>
      <c r="T163">
        <f>IF(MONTH(A163) = 10, 1, 0)</f>
        <v>0</v>
      </c>
      <c r="U163" s="2">
        <v>-3.9052600000000002</v>
      </c>
    </row>
    <row r="164" spans="1:21" x14ac:dyDescent="0.15">
      <c r="A164" s="11">
        <v>45108</v>
      </c>
      <c r="B164" s="2">
        <v>0.73880999999999997</v>
      </c>
      <c r="C164" s="2">
        <v>4.7699999999999999E-2</v>
      </c>
      <c r="D164" s="2">
        <v>0.61633000000000004</v>
      </c>
      <c r="E164" s="2">
        <v>1.4142999999999999</v>
      </c>
      <c r="F164" s="2">
        <v>-45.945950000000003</v>
      </c>
      <c r="G164" s="2">
        <v>3.7</v>
      </c>
      <c r="H164" s="2">
        <v>0.30997000000000002</v>
      </c>
      <c r="I164" s="8">
        <v>1212.287</v>
      </c>
      <c r="J164">
        <v>2.1416656237064666E-2</v>
      </c>
      <c r="K164">
        <v>0.6725031118964736</v>
      </c>
      <c r="L164">
        <f t="shared" si="6"/>
        <v>2.1416656237064666</v>
      </c>
      <c r="M164">
        <f t="shared" si="7"/>
        <v>67.250311189647363</v>
      </c>
      <c r="N164" s="6">
        <v>0.67250512041810862</v>
      </c>
      <c r="O164">
        <f t="shared" si="8"/>
        <v>0.13413116632548927</v>
      </c>
      <c r="P164" s="2">
        <f t="shared" si="9"/>
        <v>2.58372</v>
      </c>
      <c r="Q164" s="7">
        <f>IF(MONTH(A164) = 1, 1, 0)</f>
        <v>0</v>
      </c>
      <c r="R164">
        <f>IF(MONTH(A164) = 4, 1, 0)</f>
        <v>0</v>
      </c>
      <c r="S164">
        <f>IF(MONTH(A164) = 7, 1, 0)</f>
        <v>1</v>
      </c>
      <c r="T164">
        <f>IF(MONTH(A164) = 10, 1, 0)</f>
        <v>0</v>
      </c>
      <c r="U164" s="2">
        <v>-2.85636</v>
      </c>
    </row>
    <row r="165" spans="1:21" x14ac:dyDescent="0.15">
      <c r="A165" s="11">
        <v>45200</v>
      </c>
      <c r="B165" s="2">
        <v>0.82894999999999996</v>
      </c>
      <c r="C165" s="2">
        <v>1.45648</v>
      </c>
      <c r="D165" s="2">
        <v>0.40983999999999998</v>
      </c>
      <c r="E165" s="2">
        <v>1.25806</v>
      </c>
      <c r="F165" s="2">
        <v>0</v>
      </c>
      <c r="G165" s="2">
        <v>3.7333333333333334</v>
      </c>
      <c r="H165" s="2">
        <v>-0.66556000000000004</v>
      </c>
      <c r="I165" s="8">
        <v>1142.6410000000001</v>
      </c>
      <c r="J165">
        <v>2.3417291137848895E-2</v>
      </c>
      <c r="K165">
        <v>0.68934961215522328</v>
      </c>
      <c r="L165">
        <f t="shared" si="6"/>
        <v>2.3417291137848895</v>
      </c>
      <c r="M165">
        <f t="shared" si="7"/>
        <v>68.934961215522321</v>
      </c>
      <c r="N165" s="6">
        <v>0.68862714809808845</v>
      </c>
      <c r="O165">
        <f t="shared" si="8"/>
        <v>0.1658566292600826</v>
      </c>
      <c r="P165" s="2">
        <f t="shared" si="9"/>
        <v>1.17733</v>
      </c>
      <c r="Q165" s="7">
        <f>IF(MONTH(A165) = 1, 1, 0)</f>
        <v>0</v>
      </c>
      <c r="R165">
        <f>IF(MONTH(A165) = 4, 1, 0)</f>
        <v>0</v>
      </c>
      <c r="S165">
        <f>IF(MONTH(A165) = 7, 1, 0)</f>
        <v>0</v>
      </c>
      <c r="T165">
        <f>IF(MONTH(A165) = 10, 1, 0)</f>
        <v>1</v>
      </c>
      <c r="U165" s="2">
        <v>-1.72987</v>
      </c>
    </row>
    <row r="166" spans="1:21" x14ac:dyDescent="0.15">
      <c r="C166" s="5"/>
      <c r="D166" s="5"/>
      <c r="E166" s="5"/>
      <c r="F166" s="5"/>
      <c r="G166" s="5"/>
      <c r="H166" s="5"/>
    </row>
  </sheetData>
  <hyperlinks>
    <hyperlink ref="C1" r:id="rId1" xr:uid="{CED70AE7-ACD2-4DF8-88A4-83EA54C9F271}"/>
    <hyperlink ref="D1" r:id="rId2" location="0" xr:uid="{FDE6DD31-A29D-4942-8905-9A20850B93F4}"/>
    <hyperlink ref="J1" r:id="rId3" display="EI1" xr:uid="{0333F21E-11C0-465E-9163-9CB93AA298A5}"/>
    <hyperlink ref="K1" r:id="rId4" display="EI10" xr:uid="{373CA926-2B58-4996-9F37-85F41CAA2802}"/>
    <hyperlink ref="E1" r:id="rId5" xr:uid="{167EC2E7-BAEE-4344-943D-D58E17DB5A8E}"/>
    <hyperlink ref="F1" r:id="rId6" location="0" xr:uid="{044072B8-D466-4C5C-9A87-AB5A2AC9A1DD}"/>
    <hyperlink ref="H1" r:id="rId7" location="0" xr:uid="{A7BCAD0D-DB16-40D2-9DAD-F7A7A0B8350C}"/>
    <hyperlink ref="B1" r:id="rId8" display="CPI, quarterly, annualized" xr:uid="{9DCCDDA1-0EDB-0D44-836B-3BB7977B59CE}"/>
    <hyperlink ref="I1" r:id="rId9" xr:uid="{8605E288-92A1-F648-BFF6-B135485F78F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8685-96C1-4E75-8B55-32DF76788C01}">
  <dimension ref="A1:V165"/>
  <sheetViews>
    <sheetView zoomScale="142" workbookViewId="0">
      <pane ySplit="1" topLeftCell="A78" activePane="bottomLeft" state="frozen"/>
      <selection pane="bottomLeft" activeCell="J85" sqref="J85:K104"/>
    </sheetView>
  </sheetViews>
  <sheetFormatPr baseColWidth="10" defaultColWidth="8.83203125" defaultRowHeight="13" x14ac:dyDescent="0.15"/>
  <cols>
    <col min="1" max="1" width="11.33203125" customWidth="1"/>
  </cols>
  <sheetData>
    <row r="1" spans="1:22" x14ac:dyDescent="0.15">
      <c r="A1" s="4" t="s">
        <v>0</v>
      </c>
      <c r="B1" s="3" t="s">
        <v>1</v>
      </c>
      <c r="C1" s="3" t="s">
        <v>12</v>
      </c>
      <c r="D1" s="3" t="s">
        <v>14</v>
      </c>
      <c r="E1" s="3" t="s">
        <v>42</v>
      </c>
      <c r="F1" s="3" t="s">
        <v>43</v>
      </c>
      <c r="G1" s="9" t="s">
        <v>65</v>
      </c>
      <c r="H1" s="3" t="s">
        <v>59</v>
      </c>
      <c r="I1" s="3" t="s">
        <v>23</v>
      </c>
      <c r="J1" s="3" t="s">
        <v>4</v>
      </c>
      <c r="K1" s="3" t="s">
        <v>5</v>
      </c>
      <c r="L1" s="3" t="s">
        <v>108</v>
      </c>
      <c r="M1" s="7" t="s">
        <v>16</v>
      </c>
      <c r="N1" s="7" t="s">
        <v>95</v>
      </c>
      <c r="O1" s="7" t="s">
        <v>96</v>
      </c>
      <c r="P1" s="7" t="s">
        <v>78</v>
      </c>
      <c r="Q1" s="7" t="s">
        <v>79</v>
      </c>
      <c r="R1" s="7" t="s">
        <v>73</v>
      </c>
      <c r="S1" s="7" t="s">
        <v>74</v>
      </c>
      <c r="T1" s="7" t="s">
        <v>75</v>
      </c>
      <c r="U1" s="7" t="s">
        <v>76</v>
      </c>
      <c r="V1" s="7" t="s">
        <v>107</v>
      </c>
    </row>
    <row r="2" spans="1:22" x14ac:dyDescent="0.15">
      <c r="A2" s="1">
        <v>35886</v>
      </c>
      <c r="B2" s="2">
        <v>0.56233999999999995</v>
      </c>
      <c r="C2" s="2">
        <v>-0.13630999999999999</v>
      </c>
      <c r="D2" s="2">
        <v>0.25052000000000002</v>
      </c>
      <c r="E2" s="2">
        <v>1.9441900000000001</v>
      </c>
      <c r="F2" s="2">
        <v>0</v>
      </c>
      <c r="G2" s="2">
        <v>4.4000000000000004</v>
      </c>
      <c r="H2" s="2">
        <v>-1.5087699999999999</v>
      </c>
      <c r="I2" s="8">
        <v>353.64600000000002</v>
      </c>
      <c r="J2">
        <v>2.6122002000000002</v>
      </c>
      <c r="K2">
        <v>2.9390829333333328</v>
      </c>
      <c r="L2">
        <f>J2-K2</f>
        <v>-0.32688273333333262</v>
      </c>
      <c r="M2">
        <v>-0.41906700247441164</v>
      </c>
      <c r="N2">
        <v>3.813333333333333</v>
      </c>
      <c r="O2">
        <v>0.37333333333333307</v>
      </c>
      <c r="P2">
        <v>0.79841999999999991</v>
      </c>
      <c r="R2">
        <f>IF(MONTH(A2) = 1, 1, 0)</f>
        <v>0</v>
      </c>
      <c r="S2">
        <f>IF(MONTH(A2) = 4, 1, 0)</f>
        <v>1</v>
      </c>
      <c r="T2">
        <f>IF(MONTH(A2) = 7, 1, 0)</f>
        <v>0</v>
      </c>
      <c r="U2">
        <f>IF(MONTH(A2) = 10, 1, 0)</f>
        <v>0</v>
      </c>
      <c r="V2" s="9">
        <v>3.3</v>
      </c>
    </row>
    <row r="3" spans="1:22" x14ac:dyDescent="0.15">
      <c r="A3" s="1">
        <v>35977</v>
      </c>
      <c r="B3" s="2">
        <v>0.59775999999999996</v>
      </c>
      <c r="C3" s="2">
        <v>-1.1193</v>
      </c>
      <c r="D3" s="2">
        <v>0.49979000000000001</v>
      </c>
      <c r="E3" s="2">
        <v>1.6167800000000001</v>
      </c>
      <c r="F3" s="2">
        <v>16.66667</v>
      </c>
      <c r="G3" s="2">
        <v>4.5333333333333332</v>
      </c>
      <c r="H3" s="2">
        <v>-1.4962599999999999</v>
      </c>
      <c r="I3" s="8">
        <v>360.22800000000001</v>
      </c>
      <c r="J3">
        <v>2.660754733333333</v>
      </c>
      <c r="K3">
        <v>2.8607493333333336</v>
      </c>
      <c r="L3">
        <f t="shared" ref="L3:L66" si="0">J3-K3</f>
        <v>-0.19999460000000058</v>
      </c>
      <c r="M3">
        <v>-0.86171632570018986</v>
      </c>
      <c r="N3">
        <v>3.76</v>
      </c>
      <c r="O3">
        <v>0.20999999999999952</v>
      </c>
      <c r="P3">
        <v>-1.12514</v>
      </c>
      <c r="R3">
        <f t="shared" ref="R3:R66" si="1">IF(MONTH(A3) = 1, 1, 0)</f>
        <v>0</v>
      </c>
      <c r="S3">
        <f t="shared" ref="S3:S66" si="2">IF(MONTH(A3) = 4, 1, 0)</f>
        <v>0</v>
      </c>
      <c r="T3">
        <f t="shared" ref="T3:T66" si="3">IF(MONTH(A3) = 7, 1, 0)</f>
        <v>1</v>
      </c>
      <c r="U3">
        <f t="shared" ref="U3:U66" si="4">IF(MONTH(A3) = 10, 1, 0)</f>
        <v>0</v>
      </c>
      <c r="V3" s="9">
        <v>5.5</v>
      </c>
    </row>
    <row r="4" spans="1:22" x14ac:dyDescent="0.15">
      <c r="A4" s="1">
        <v>36069</v>
      </c>
      <c r="B4" s="2">
        <v>0.55588000000000004</v>
      </c>
      <c r="C4" s="2">
        <v>-0.66261999999999999</v>
      </c>
      <c r="D4" s="2">
        <v>0.78739999999999999</v>
      </c>
      <c r="E4" s="2">
        <v>1.7102900000000001</v>
      </c>
      <c r="F4" s="2">
        <v>-7.1428599999999998</v>
      </c>
      <c r="G4" s="2">
        <v>4.4333333333333336</v>
      </c>
      <c r="H4" s="2">
        <v>-0.50632999999999995</v>
      </c>
      <c r="I4" s="8">
        <v>416.738</v>
      </c>
      <c r="J4">
        <v>2.3254917333333331</v>
      </c>
      <c r="K4">
        <v>2.4843892333333328</v>
      </c>
      <c r="L4">
        <f t="shared" si="0"/>
        <v>-0.15889749999999969</v>
      </c>
      <c r="M4">
        <v>-0.67089909338183651</v>
      </c>
      <c r="N4">
        <v>3.7366666666666668</v>
      </c>
      <c r="O4">
        <v>4.9999999999999822E-2</v>
      </c>
      <c r="P4">
        <v>-3.2239999999999935E-2</v>
      </c>
      <c r="R4">
        <f t="shared" si="1"/>
        <v>0</v>
      </c>
      <c r="S4">
        <f t="shared" si="2"/>
        <v>0</v>
      </c>
      <c r="T4">
        <f t="shared" si="3"/>
        <v>0</v>
      </c>
      <c r="U4">
        <f t="shared" si="4"/>
        <v>1</v>
      </c>
      <c r="V4" s="9">
        <v>-2.1</v>
      </c>
    </row>
    <row r="5" spans="1:22" x14ac:dyDescent="0.15">
      <c r="A5" s="1">
        <v>36161</v>
      </c>
      <c r="B5" s="2">
        <v>0.43842999999999999</v>
      </c>
      <c r="C5" s="2">
        <v>0.30573</v>
      </c>
      <c r="D5" s="2">
        <v>0.78125</v>
      </c>
      <c r="E5" s="2">
        <v>1.22424</v>
      </c>
      <c r="F5" s="2">
        <v>-23.076920000000001</v>
      </c>
      <c r="G5" s="2">
        <v>4.3</v>
      </c>
      <c r="H5" s="2">
        <v>-0.39984999999999998</v>
      </c>
      <c r="I5" s="8">
        <v>423.61700000000002</v>
      </c>
      <c r="J5">
        <v>2.5083721333333333</v>
      </c>
      <c r="K5">
        <v>2.6671926000000004</v>
      </c>
      <c r="L5">
        <f t="shared" si="0"/>
        <v>-0.15882046666666705</v>
      </c>
      <c r="M5">
        <v>-0.14583233678632293</v>
      </c>
      <c r="N5">
        <v>3.98</v>
      </c>
      <c r="O5">
        <v>0.18333333333333313</v>
      </c>
      <c r="P5">
        <v>2.62839</v>
      </c>
      <c r="R5">
        <f t="shared" si="1"/>
        <v>1</v>
      </c>
      <c r="S5">
        <f t="shared" si="2"/>
        <v>0</v>
      </c>
      <c r="T5">
        <f t="shared" si="3"/>
        <v>0</v>
      </c>
      <c r="U5">
        <f t="shared" si="4"/>
        <v>0</v>
      </c>
      <c r="V5" s="9">
        <v>-0.6</v>
      </c>
    </row>
    <row r="6" spans="1:22" x14ac:dyDescent="0.15">
      <c r="A6" s="1">
        <v>36251</v>
      </c>
      <c r="B6" s="2">
        <v>0.47447</v>
      </c>
      <c r="C6" s="2">
        <v>-0.19395999999999999</v>
      </c>
      <c r="D6" s="2">
        <v>0.10199999999999999</v>
      </c>
      <c r="E6" s="2">
        <v>2.1074899999999999</v>
      </c>
      <c r="F6" s="2">
        <v>40</v>
      </c>
      <c r="G6" s="2">
        <v>4.2666666666666666</v>
      </c>
      <c r="H6" s="2">
        <v>1.6058399999999999</v>
      </c>
      <c r="I6" s="8">
        <v>435.70100000000002</v>
      </c>
      <c r="J6">
        <v>2.5968042333333332</v>
      </c>
      <c r="K6">
        <v>2.8608256666666665</v>
      </c>
      <c r="L6">
        <f t="shared" si="0"/>
        <v>-0.26402143333333328</v>
      </c>
      <c r="M6">
        <v>-0.30377679968426258</v>
      </c>
      <c r="N6">
        <v>3.8466666666666662</v>
      </c>
      <c r="O6">
        <f>N6-N2</f>
        <v>3.3333333333333215E-2</v>
      </c>
      <c r="P6">
        <v>3.1146099999999999</v>
      </c>
      <c r="Q6">
        <f>M6-M2</f>
        <v>0.11529020279014907</v>
      </c>
      <c r="R6">
        <f t="shared" si="1"/>
        <v>0</v>
      </c>
      <c r="S6">
        <f t="shared" si="2"/>
        <v>1</v>
      </c>
      <c r="T6">
        <f t="shared" si="3"/>
        <v>0</v>
      </c>
      <c r="U6">
        <f t="shared" si="4"/>
        <v>0</v>
      </c>
      <c r="V6" s="9">
        <v>-0.1</v>
      </c>
    </row>
    <row r="7" spans="1:22" x14ac:dyDescent="0.15">
      <c r="A7" s="1">
        <v>36342</v>
      </c>
      <c r="B7" s="2">
        <v>0.52890000000000004</v>
      </c>
      <c r="C7" s="2">
        <v>0.83287</v>
      </c>
      <c r="D7" s="2">
        <v>0.38719999999999999</v>
      </c>
      <c r="E7" s="2">
        <v>1.68041</v>
      </c>
      <c r="F7" s="2">
        <v>7.1428599999999998</v>
      </c>
      <c r="G7" s="2">
        <v>4.2333333333333334</v>
      </c>
      <c r="H7" s="2">
        <v>2.15517</v>
      </c>
      <c r="I7" s="8">
        <v>451.49200000000002</v>
      </c>
      <c r="J7">
        <v>2.7673423000000001</v>
      </c>
      <c r="K7">
        <v>3.0533912999999999</v>
      </c>
      <c r="L7">
        <f t="shared" si="0"/>
        <v>-0.28604899999999978</v>
      </c>
      <c r="M7">
        <v>-0.46415696804020801</v>
      </c>
      <c r="N7">
        <v>3.7900000000000005</v>
      </c>
      <c r="O7">
        <f t="shared" ref="O7:O70" si="5">N7-N3</f>
        <v>3.0000000000000693E-2</v>
      </c>
      <c r="P7">
        <v>3.65143</v>
      </c>
      <c r="Q7">
        <f t="shared" ref="Q7:Q70" si="6">M7-M3</f>
        <v>0.39755935765998185</v>
      </c>
      <c r="R7">
        <f t="shared" si="1"/>
        <v>0</v>
      </c>
      <c r="S7">
        <f t="shared" si="2"/>
        <v>0</v>
      </c>
      <c r="T7">
        <f t="shared" si="3"/>
        <v>1</v>
      </c>
      <c r="U7">
        <f t="shared" si="4"/>
        <v>0</v>
      </c>
      <c r="V7" s="9">
        <v>-1.1000000000000001</v>
      </c>
    </row>
    <row r="8" spans="1:22" x14ac:dyDescent="0.15">
      <c r="A8" s="1">
        <v>36434</v>
      </c>
      <c r="B8" s="2">
        <v>0.56369999999999998</v>
      </c>
      <c r="C8" s="2">
        <v>0.74339</v>
      </c>
      <c r="D8" s="2">
        <v>0.62931000000000004</v>
      </c>
      <c r="E8" s="2">
        <v>2.0788199999999999</v>
      </c>
      <c r="F8" s="2">
        <v>26.66667</v>
      </c>
      <c r="G8" s="2">
        <v>4.0666666666666664</v>
      </c>
      <c r="H8" s="2">
        <v>2.0042200000000001</v>
      </c>
      <c r="I8" s="8">
        <v>492.98599999999999</v>
      </c>
      <c r="J8">
        <v>3.0087436666666667</v>
      </c>
      <c r="K8">
        <v>3.1671528999999996</v>
      </c>
      <c r="L8">
        <f t="shared" si="0"/>
        <v>-0.1584092333333329</v>
      </c>
      <c r="M8">
        <v>-0.15281983528445864</v>
      </c>
      <c r="N8">
        <v>3.8733333333333335</v>
      </c>
      <c r="O8">
        <f t="shared" si="5"/>
        <v>0.13666666666666671</v>
      </c>
      <c r="P8">
        <v>2.5105500000000003</v>
      </c>
      <c r="Q8">
        <f t="shared" si="6"/>
        <v>0.51807925809737787</v>
      </c>
      <c r="R8">
        <f t="shared" si="1"/>
        <v>0</v>
      </c>
      <c r="S8">
        <f t="shared" si="2"/>
        <v>0</v>
      </c>
      <c r="T8">
        <f t="shared" si="3"/>
        <v>0</v>
      </c>
      <c r="U8">
        <f t="shared" si="4"/>
        <v>1</v>
      </c>
      <c r="V8" s="9">
        <v>2.7</v>
      </c>
    </row>
    <row r="9" spans="1:22" x14ac:dyDescent="0.15">
      <c r="A9" s="1">
        <v>36526</v>
      </c>
      <c r="B9" s="2">
        <v>0.65395999999999999</v>
      </c>
      <c r="C9" s="2">
        <v>0.57393000000000005</v>
      </c>
      <c r="D9" s="2">
        <v>0.64554999999999996</v>
      </c>
      <c r="E9" s="2">
        <v>2.3380100000000001</v>
      </c>
      <c r="F9" s="2">
        <v>10.52632</v>
      </c>
      <c r="G9" s="2">
        <v>4.0333333333333332</v>
      </c>
      <c r="H9" s="2">
        <v>2.5163700000000002</v>
      </c>
      <c r="I9" s="8">
        <v>455.56900000000002</v>
      </c>
      <c r="J9">
        <v>3.1587374666666665</v>
      </c>
      <c r="K9">
        <v>3.3172853333333334</v>
      </c>
      <c r="L9">
        <f t="shared" si="0"/>
        <v>-0.15854786666666687</v>
      </c>
      <c r="M9">
        <v>-0.41619832683986019</v>
      </c>
      <c r="N9">
        <v>4.083333333333333</v>
      </c>
      <c r="O9">
        <f t="shared" si="5"/>
        <v>0.10333333333333306</v>
      </c>
      <c r="P9">
        <v>2.91622</v>
      </c>
      <c r="Q9">
        <f t="shared" si="6"/>
        <v>-0.27036599005353723</v>
      </c>
      <c r="R9">
        <f t="shared" si="1"/>
        <v>1</v>
      </c>
      <c r="S9">
        <f t="shared" si="2"/>
        <v>0</v>
      </c>
      <c r="T9">
        <f t="shared" si="3"/>
        <v>0</v>
      </c>
      <c r="U9">
        <f t="shared" si="4"/>
        <v>0</v>
      </c>
      <c r="V9" s="9">
        <v>4.4000000000000004</v>
      </c>
    </row>
    <row r="10" spans="1:22" x14ac:dyDescent="0.15">
      <c r="A10" s="1">
        <v>36617</v>
      </c>
      <c r="B10" s="2">
        <v>0.63114999999999999</v>
      </c>
      <c r="C10" s="2">
        <v>1.79348</v>
      </c>
      <c r="D10" s="2">
        <v>0.46100999999999998</v>
      </c>
      <c r="E10" s="2">
        <v>1.4152800000000001</v>
      </c>
      <c r="F10" s="2">
        <v>-33.333329999999997</v>
      </c>
      <c r="G10" s="2">
        <v>3.9333333333333331</v>
      </c>
      <c r="H10" s="2">
        <v>3.3619999999999997E-2</v>
      </c>
      <c r="I10" s="8">
        <v>571.40700000000004</v>
      </c>
      <c r="J10">
        <v>3.4111668333333323</v>
      </c>
      <c r="K10">
        <v>3.2589821999999997</v>
      </c>
      <c r="L10">
        <f t="shared" si="0"/>
        <v>0.15218463333333254</v>
      </c>
      <c r="M10">
        <v>0.16897741617846188</v>
      </c>
      <c r="N10">
        <v>3.8800000000000003</v>
      </c>
      <c r="O10">
        <f t="shared" si="5"/>
        <v>3.3333333333334103E-2</v>
      </c>
      <c r="P10">
        <v>-1.57222</v>
      </c>
      <c r="Q10">
        <f t="shared" si="6"/>
        <v>0.47275421586272448</v>
      </c>
      <c r="R10">
        <f t="shared" si="1"/>
        <v>0</v>
      </c>
      <c r="S10">
        <f t="shared" si="2"/>
        <v>1</v>
      </c>
      <c r="T10">
        <f t="shared" si="3"/>
        <v>0</v>
      </c>
      <c r="U10">
        <f t="shared" si="4"/>
        <v>0</v>
      </c>
      <c r="V10" s="9">
        <v>4.0999999999999996</v>
      </c>
    </row>
    <row r="11" spans="1:22" x14ac:dyDescent="0.15">
      <c r="A11" s="1">
        <v>36708</v>
      </c>
      <c r="B11" s="2">
        <v>0.66408</v>
      </c>
      <c r="C11" s="2">
        <v>4.0309699999999999</v>
      </c>
      <c r="D11" s="2">
        <v>0.89785000000000004</v>
      </c>
      <c r="E11" s="2">
        <v>1.61008</v>
      </c>
      <c r="F11" s="2">
        <v>35.714289999999998</v>
      </c>
      <c r="G11" s="2">
        <v>4</v>
      </c>
      <c r="H11" s="2">
        <v>1.5798300000000001</v>
      </c>
      <c r="I11" s="8">
        <v>474.286</v>
      </c>
      <c r="J11">
        <v>3.1279634666666665</v>
      </c>
      <c r="K11">
        <v>3.0476560666666668</v>
      </c>
      <c r="L11">
        <f t="shared" si="0"/>
        <v>8.0307399999999696E-2</v>
      </c>
      <c r="M11">
        <v>5.8541365105027728E-2</v>
      </c>
      <c r="N11">
        <v>3.7166666666666668</v>
      </c>
      <c r="O11">
        <f t="shared" si="5"/>
        <v>-7.3333333333333695E-2</v>
      </c>
      <c r="P11">
        <v>-0.57533999999999996</v>
      </c>
      <c r="Q11">
        <f t="shared" si="6"/>
        <v>0.52269833314523573</v>
      </c>
      <c r="R11">
        <f t="shared" si="1"/>
        <v>0</v>
      </c>
      <c r="S11">
        <f t="shared" si="2"/>
        <v>0</v>
      </c>
      <c r="T11">
        <f t="shared" si="3"/>
        <v>1</v>
      </c>
      <c r="U11">
        <f t="shared" si="4"/>
        <v>0</v>
      </c>
      <c r="V11" s="9">
        <v>-0.4</v>
      </c>
    </row>
    <row r="12" spans="1:22" x14ac:dyDescent="0.15">
      <c r="A12" s="1">
        <v>36800</v>
      </c>
      <c r="B12" s="2">
        <v>0.60472999999999999</v>
      </c>
      <c r="C12" s="2">
        <v>3.6438299999999999</v>
      </c>
      <c r="D12" s="2">
        <v>0.45482</v>
      </c>
      <c r="E12" s="2">
        <v>1.44624</v>
      </c>
      <c r="F12" s="2">
        <v>5.2631600000000001</v>
      </c>
      <c r="G12" s="2">
        <v>3.9</v>
      </c>
      <c r="H12" s="2">
        <v>0.23163</v>
      </c>
      <c r="I12" s="8">
        <v>375.101</v>
      </c>
      <c r="J12">
        <v>3.1241631000000001</v>
      </c>
      <c r="K12">
        <v>2.9310508333333334</v>
      </c>
      <c r="L12">
        <f t="shared" si="0"/>
        <v>0.1931122666666667</v>
      </c>
      <c r="M12">
        <v>-0.68730361827772002</v>
      </c>
      <c r="N12">
        <v>3.6033333333333331</v>
      </c>
      <c r="O12">
        <f t="shared" si="5"/>
        <v>-0.27000000000000046</v>
      </c>
      <c r="P12">
        <v>-1.7725900000000001</v>
      </c>
      <c r="Q12">
        <f t="shared" si="6"/>
        <v>-0.53448378299326138</v>
      </c>
      <c r="R12">
        <f t="shared" si="1"/>
        <v>0</v>
      </c>
      <c r="S12">
        <f t="shared" si="2"/>
        <v>0</v>
      </c>
      <c r="T12">
        <f t="shared" si="3"/>
        <v>0</v>
      </c>
      <c r="U12">
        <f t="shared" si="4"/>
        <v>1</v>
      </c>
      <c r="V12" s="9">
        <v>0.9</v>
      </c>
    </row>
    <row r="13" spans="1:22" x14ac:dyDescent="0.15">
      <c r="A13" s="1">
        <v>36892</v>
      </c>
      <c r="B13" s="2">
        <v>0.72860000000000003</v>
      </c>
      <c r="C13" s="2">
        <v>8.7645499999999998</v>
      </c>
      <c r="D13" s="2">
        <v>1.1614199999999999</v>
      </c>
      <c r="E13" s="2">
        <v>1.1086100000000001</v>
      </c>
      <c r="F13" s="2">
        <v>30</v>
      </c>
      <c r="G13" s="2">
        <v>4.2333333333333334</v>
      </c>
      <c r="H13" s="2">
        <v>-1.3866000000000001</v>
      </c>
      <c r="I13" s="8">
        <v>318.06700000000001</v>
      </c>
      <c r="J13">
        <v>2.4760114</v>
      </c>
      <c r="K13">
        <v>2.5579322333333332</v>
      </c>
      <c r="L13">
        <f t="shared" si="0"/>
        <v>-8.1920833333333221E-2</v>
      </c>
      <c r="M13">
        <v>-0.72502948905563847</v>
      </c>
      <c r="N13">
        <v>1.3257450316354198</v>
      </c>
      <c r="O13">
        <f t="shared" si="5"/>
        <v>-2.757588301697913</v>
      </c>
      <c r="P13">
        <v>-3.9029700000000003</v>
      </c>
      <c r="Q13">
        <f t="shared" si="6"/>
        <v>-0.30883116221577828</v>
      </c>
      <c r="R13">
        <f t="shared" si="1"/>
        <v>1</v>
      </c>
      <c r="S13">
        <f t="shared" si="2"/>
        <v>0</v>
      </c>
      <c r="T13">
        <f t="shared" si="3"/>
        <v>0</v>
      </c>
      <c r="U13">
        <f t="shared" si="4"/>
        <v>0</v>
      </c>
      <c r="V13" s="9">
        <v>1.4</v>
      </c>
    </row>
    <row r="14" spans="1:22" x14ac:dyDescent="0.15">
      <c r="A14" s="1">
        <v>36982</v>
      </c>
      <c r="B14" s="2">
        <v>0.61482999999999999</v>
      </c>
      <c r="C14" s="2">
        <v>-0.61460999999999999</v>
      </c>
      <c r="D14" s="2">
        <v>0.68106999999999995</v>
      </c>
      <c r="E14" s="2">
        <v>0.67093000000000003</v>
      </c>
      <c r="F14" s="2">
        <v>-42.307690000000001</v>
      </c>
      <c r="G14" s="2">
        <v>4.4000000000000004</v>
      </c>
      <c r="H14" s="2">
        <v>-1.7743599999999999</v>
      </c>
      <c r="I14" s="8">
        <v>207.03800000000001</v>
      </c>
      <c r="J14">
        <v>2.6780914999999998</v>
      </c>
      <c r="K14">
        <v>2.7313428333333336</v>
      </c>
      <c r="L14">
        <f t="shared" si="0"/>
        <v>-5.3251333333333761E-2</v>
      </c>
      <c r="M14">
        <v>-0.90591813538832644</v>
      </c>
      <c r="N14">
        <v>1.3517296193808708</v>
      </c>
      <c r="O14">
        <f t="shared" si="5"/>
        <v>-2.5282703806191296</v>
      </c>
      <c r="P14">
        <v>-1.8079799999999999</v>
      </c>
      <c r="Q14">
        <f t="shared" si="6"/>
        <v>-1.0748955515667884</v>
      </c>
      <c r="R14">
        <f t="shared" si="1"/>
        <v>0</v>
      </c>
      <c r="S14">
        <f t="shared" si="2"/>
        <v>1</v>
      </c>
      <c r="T14">
        <f t="shared" si="3"/>
        <v>0</v>
      </c>
      <c r="U14">
        <f t="shared" si="4"/>
        <v>0</v>
      </c>
      <c r="V14" s="9">
        <v>-0.6</v>
      </c>
    </row>
    <row r="15" spans="1:22" x14ac:dyDescent="0.15">
      <c r="A15" s="1">
        <v>37073</v>
      </c>
      <c r="B15" s="2">
        <v>0.68296000000000001</v>
      </c>
      <c r="C15" s="2">
        <v>-2.6568900000000002</v>
      </c>
      <c r="D15" s="2">
        <v>0.79242000000000001</v>
      </c>
      <c r="E15" s="2">
        <v>0.39901999999999999</v>
      </c>
      <c r="F15" s="2">
        <v>-33.333329999999997</v>
      </c>
      <c r="G15" s="2">
        <v>4.833333333333333</v>
      </c>
      <c r="H15" s="2">
        <v>-1.84049</v>
      </c>
      <c r="I15" s="8">
        <v>123.018</v>
      </c>
      <c r="J15">
        <v>2.7963411666666671</v>
      </c>
      <c r="K15">
        <v>2.7474822999999997</v>
      </c>
      <c r="L15">
        <f t="shared" si="0"/>
        <v>4.8858866666667389E-2</v>
      </c>
      <c r="M15">
        <v>-0.71937145259864599</v>
      </c>
      <c r="N15">
        <v>1.6089790805953577</v>
      </c>
      <c r="O15">
        <f t="shared" si="5"/>
        <v>-2.1076875860713091</v>
      </c>
      <c r="P15">
        <v>-3.4203200000000002</v>
      </c>
      <c r="Q15">
        <f t="shared" si="6"/>
        <v>-0.77791281770367371</v>
      </c>
      <c r="R15">
        <f t="shared" si="1"/>
        <v>0</v>
      </c>
      <c r="S15">
        <f t="shared" si="2"/>
        <v>0</v>
      </c>
      <c r="T15">
        <f t="shared" si="3"/>
        <v>1</v>
      </c>
      <c r="U15">
        <f t="shared" si="4"/>
        <v>0</v>
      </c>
      <c r="V15" s="9">
        <v>4.3</v>
      </c>
    </row>
    <row r="16" spans="1:22" x14ac:dyDescent="0.15">
      <c r="A16" s="1">
        <v>37165</v>
      </c>
      <c r="B16" s="2">
        <v>0.66047999999999996</v>
      </c>
      <c r="C16" s="2">
        <v>-4.0941200000000002</v>
      </c>
      <c r="D16" s="2">
        <v>0.51773999999999998</v>
      </c>
      <c r="E16" s="2">
        <v>1.6543300000000001</v>
      </c>
      <c r="F16" s="2">
        <v>90</v>
      </c>
      <c r="G16" s="2">
        <v>5.5</v>
      </c>
      <c r="H16" s="2">
        <v>-3.6805599999999998</v>
      </c>
      <c r="I16" s="8">
        <v>69.350999999999999</v>
      </c>
      <c r="J16">
        <v>2.3680020333333331</v>
      </c>
      <c r="K16">
        <v>2.5212699666666669</v>
      </c>
      <c r="L16">
        <f t="shared" si="0"/>
        <v>-0.15326793333333377</v>
      </c>
      <c r="M16">
        <v>-1.2206577427403709</v>
      </c>
      <c r="N16">
        <v>2.2085304766563558</v>
      </c>
      <c r="O16">
        <f t="shared" si="5"/>
        <v>-1.3948028566769772</v>
      </c>
      <c r="P16">
        <v>-3.9121899999999998</v>
      </c>
      <c r="Q16">
        <f t="shared" si="6"/>
        <v>-0.53335412446265085</v>
      </c>
      <c r="R16">
        <f t="shared" si="1"/>
        <v>0</v>
      </c>
      <c r="S16">
        <f t="shared" si="2"/>
        <v>0</v>
      </c>
      <c r="T16">
        <f t="shared" si="3"/>
        <v>0</v>
      </c>
      <c r="U16">
        <f t="shared" si="4"/>
        <v>1</v>
      </c>
      <c r="V16" s="9">
        <v>0.4</v>
      </c>
    </row>
    <row r="17" spans="1:22" x14ac:dyDescent="0.15">
      <c r="A17" s="1">
        <v>37257</v>
      </c>
      <c r="B17" s="2">
        <v>0.54974000000000001</v>
      </c>
      <c r="C17" s="2">
        <v>-1.1530899999999999</v>
      </c>
      <c r="D17" s="2">
        <v>0.68676000000000004</v>
      </c>
      <c r="E17" s="2">
        <v>0.42342999999999997</v>
      </c>
      <c r="F17" s="2">
        <v>-36.842109999999998</v>
      </c>
      <c r="G17" s="2">
        <v>5.7</v>
      </c>
      <c r="H17" s="2">
        <v>-0.50468999999999997</v>
      </c>
      <c r="I17" s="8">
        <v>168.62799999999999</v>
      </c>
      <c r="J17">
        <v>2.1499735333333336</v>
      </c>
      <c r="K17">
        <v>2.7356563</v>
      </c>
      <c r="L17">
        <f t="shared" si="0"/>
        <v>-0.58568276666666641</v>
      </c>
      <c r="M17">
        <v>-0.58465544361180088</v>
      </c>
      <c r="N17">
        <v>2.5298899896304969</v>
      </c>
      <c r="O17">
        <f t="shared" si="5"/>
        <v>1.2041449579950771</v>
      </c>
      <c r="P17">
        <v>0.88191000000000008</v>
      </c>
      <c r="Q17">
        <f t="shared" si="6"/>
        <v>0.14037404544383758</v>
      </c>
      <c r="R17">
        <f t="shared" si="1"/>
        <v>1</v>
      </c>
      <c r="S17">
        <f t="shared" si="2"/>
        <v>0</v>
      </c>
      <c r="T17">
        <f t="shared" si="3"/>
        <v>0</v>
      </c>
      <c r="U17">
        <f t="shared" si="4"/>
        <v>0</v>
      </c>
      <c r="V17" s="9">
        <v>-8.1999999999999993</v>
      </c>
    </row>
    <row r="18" spans="1:22" x14ac:dyDescent="0.15">
      <c r="A18" s="1">
        <v>37347</v>
      </c>
      <c r="B18" s="2">
        <v>0.51146000000000003</v>
      </c>
      <c r="C18" s="2">
        <v>-0.14892</v>
      </c>
      <c r="D18" s="2">
        <v>0</v>
      </c>
      <c r="E18" s="2">
        <v>1.2501599999999999</v>
      </c>
      <c r="F18" s="2">
        <v>83.333330000000004</v>
      </c>
      <c r="G18" s="2">
        <v>5.833333333333333</v>
      </c>
      <c r="H18" s="2">
        <v>2.4637699999999998</v>
      </c>
      <c r="I18" s="8">
        <v>145.77600000000001</v>
      </c>
      <c r="J18">
        <v>2.5161368666666668</v>
      </c>
      <c r="K18">
        <v>2.8250630000000001</v>
      </c>
      <c r="L18">
        <f t="shared" si="0"/>
        <v>-0.3089261333333333</v>
      </c>
      <c r="M18">
        <v>-0.48331596103778768</v>
      </c>
      <c r="N18">
        <v>2.3189537512979235</v>
      </c>
      <c r="O18">
        <f t="shared" si="5"/>
        <v>0.9672241319170527</v>
      </c>
      <c r="P18">
        <v>4.23813</v>
      </c>
      <c r="Q18">
        <f t="shared" si="6"/>
        <v>0.42260217435053876</v>
      </c>
      <c r="R18">
        <f t="shared" si="1"/>
        <v>0</v>
      </c>
      <c r="S18">
        <f t="shared" si="2"/>
        <v>1</v>
      </c>
      <c r="T18">
        <f t="shared" si="3"/>
        <v>0</v>
      </c>
      <c r="U18">
        <f t="shared" si="4"/>
        <v>0</v>
      </c>
      <c r="V18" s="9">
        <v>-5.9</v>
      </c>
    </row>
    <row r="19" spans="1:22" x14ac:dyDescent="0.15">
      <c r="A19" s="1">
        <v>37438</v>
      </c>
      <c r="B19" s="2">
        <v>0.52641000000000004</v>
      </c>
      <c r="C19" s="2">
        <v>-0.32313999999999998</v>
      </c>
      <c r="D19" s="2">
        <v>0.11368</v>
      </c>
      <c r="E19" s="2">
        <v>1.2201299999999999</v>
      </c>
      <c r="F19" s="2">
        <v>-4.5454499999999998</v>
      </c>
      <c r="G19" s="2">
        <v>5.7333333333333334</v>
      </c>
      <c r="H19" s="2">
        <v>0.70721000000000001</v>
      </c>
      <c r="I19" s="8">
        <v>242.75</v>
      </c>
      <c r="J19">
        <v>2.1735607666666668</v>
      </c>
      <c r="K19">
        <v>2.4191783999999998</v>
      </c>
      <c r="L19">
        <f t="shared" si="0"/>
        <v>-0.24561763333333309</v>
      </c>
      <c r="M19">
        <v>-1.0221304762641064</v>
      </c>
      <c r="N19">
        <v>2.3436095718820211</v>
      </c>
      <c r="O19">
        <f t="shared" si="5"/>
        <v>0.73463049128666347</v>
      </c>
      <c r="P19">
        <v>2.5476999999999999</v>
      </c>
      <c r="Q19">
        <f t="shared" si="6"/>
        <v>-0.30275902366546037</v>
      </c>
      <c r="R19">
        <f t="shared" si="1"/>
        <v>0</v>
      </c>
      <c r="S19">
        <f t="shared" si="2"/>
        <v>0</v>
      </c>
      <c r="T19">
        <f t="shared" si="3"/>
        <v>1</v>
      </c>
      <c r="U19">
        <f t="shared" si="4"/>
        <v>0</v>
      </c>
      <c r="V19" s="9">
        <v>-1</v>
      </c>
    </row>
    <row r="20" spans="1:22" x14ac:dyDescent="0.15">
      <c r="A20" s="1">
        <v>37530</v>
      </c>
      <c r="B20" s="2">
        <v>0.45383000000000001</v>
      </c>
      <c r="C20" s="2">
        <v>1.4962599999999999</v>
      </c>
      <c r="D20" s="2">
        <v>0.41635</v>
      </c>
      <c r="E20" s="2">
        <v>1.0251699999999999</v>
      </c>
      <c r="F20" s="2">
        <v>-33.333329999999997</v>
      </c>
      <c r="G20" s="2">
        <v>5.8666666666666671</v>
      </c>
      <c r="H20" s="2">
        <v>0.17555999999999999</v>
      </c>
      <c r="I20" s="8">
        <v>252.196</v>
      </c>
      <c r="J20">
        <v>1.9956968000000002</v>
      </c>
      <c r="K20">
        <v>2.2136470000000004</v>
      </c>
      <c r="L20">
        <f t="shared" si="0"/>
        <v>-0.2179502000000002</v>
      </c>
      <c r="M20">
        <v>-0.85168610784252285</v>
      </c>
      <c r="N20">
        <v>2.6176017015345501</v>
      </c>
      <c r="O20">
        <f t="shared" si="5"/>
        <v>0.40907122487819425</v>
      </c>
      <c r="P20">
        <v>3.8561199999999998</v>
      </c>
      <c r="Q20">
        <f t="shared" si="6"/>
        <v>0.36897163489784801</v>
      </c>
      <c r="R20">
        <f t="shared" si="1"/>
        <v>0</v>
      </c>
      <c r="S20">
        <f t="shared" si="2"/>
        <v>0</v>
      </c>
      <c r="T20">
        <f t="shared" si="3"/>
        <v>0</v>
      </c>
      <c r="U20">
        <f t="shared" si="4"/>
        <v>1</v>
      </c>
      <c r="V20" s="9">
        <v>1.5</v>
      </c>
    </row>
    <row r="21" spans="1:22" x14ac:dyDescent="0.15">
      <c r="A21" s="1">
        <v>37622</v>
      </c>
      <c r="B21" s="2">
        <v>0.33015</v>
      </c>
      <c r="C21" s="2">
        <v>4.1031899999999997</v>
      </c>
      <c r="D21" s="2">
        <v>0.71616999999999997</v>
      </c>
      <c r="E21" s="2">
        <v>1.2601</v>
      </c>
      <c r="F21" s="2">
        <v>-14.28571</v>
      </c>
      <c r="G21" s="2">
        <v>5.8666666666666671</v>
      </c>
      <c r="H21" s="2">
        <v>3.2246800000000002</v>
      </c>
      <c r="I21" s="8">
        <v>229.92400000000001</v>
      </c>
      <c r="J21">
        <v>2.0296309666666668</v>
      </c>
      <c r="K21">
        <v>2.1892966333333335</v>
      </c>
      <c r="L21">
        <f t="shared" si="0"/>
        <v>-0.15966566666666671</v>
      </c>
      <c r="M21">
        <v>-0.38544778998543361</v>
      </c>
      <c r="N21">
        <v>2.9073872293275209</v>
      </c>
      <c r="O21">
        <f t="shared" si="5"/>
        <v>0.37749723969702398</v>
      </c>
      <c r="P21">
        <v>3.7293700000000003</v>
      </c>
      <c r="Q21">
        <f t="shared" si="6"/>
        <v>0.19920765362636728</v>
      </c>
      <c r="R21">
        <f t="shared" si="1"/>
        <v>1</v>
      </c>
      <c r="S21">
        <f t="shared" si="2"/>
        <v>0</v>
      </c>
      <c r="T21">
        <f t="shared" si="3"/>
        <v>0</v>
      </c>
      <c r="U21">
        <f t="shared" si="4"/>
        <v>0</v>
      </c>
      <c r="V21" s="9">
        <v>4.9000000000000004</v>
      </c>
    </row>
    <row r="22" spans="1:22" x14ac:dyDescent="0.15">
      <c r="A22" s="1">
        <v>37712</v>
      </c>
      <c r="B22" s="2">
        <v>0.17319000000000001</v>
      </c>
      <c r="C22" s="2">
        <v>3.6818499999999998</v>
      </c>
      <c r="D22" s="2">
        <v>0.4491</v>
      </c>
      <c r="E22" s="2">
        <v>1.2466200000000001</v>
      </c>
      <c r="F22" s="2">
        <v>25</v>
      </c>
      <c r="G22" s="2">
        <v>6.1333333333333329</v>
      </c>
      <c r="H22" s="2">
        <v>-2.3769100000000001</v>
      </c>
      <c r="I22" s="8">
        <v>261.88799999999998</v>
      </c>
      <c r="J22">
        <v>2.0375916999999997</v>
      </c>
      <c r="K22">
        <v>2.0708606666666669</v>
      </c>
      <c r="L22">
        <f t="shared" si="0"/>
        <v>-3.3268966666667232E-2</v>
      </c>
      <c r="M22">
        <v>-0.27172699484483043</v>
      </c>
      <c r="N22">
        <v>2.6047011590112179</v>
      </c>
      <c r="O22">
        <f t="shared" si="5"/>
        <v>0.28574740771329443</v>
      </c>
      <c r="P22">
        <v>-4.8406799999999999</v>
      </c>
      <c r="Q22">
        <f t="shared" si="6"/>
        <v>0.21158896619295725</v>
      </c>
      <c r="R22">
        <f t="shared" si="1"/>
        <v>0</v>
      </c>
      <c r="S22">
        <f t="shared" si="2"/>
        <v>1</v>
      </c>
      <c r="T22">
        <f t="shared" si="3"/>
        <v>0</v>
      </c>
      <c r="U22">
        <f t="shared" si="4"/>
        <v>0</v>
      </c>
      <c r="V22" s="9">
        <v>0.6</v>
      </c>
    </row>
    <row r="23" spans="1:22" x14ac:dyDescent="0.15">
      <c r="A23" s="1">
        <v>37803</v>
      </c>
      <c r="B23" s="2">
        <v>0.39765</v>
      </c>
      <c r="C23" s="2">
        <v>0.27316000000000001</v>
      </c>
      <c r="D23" s="2">
        <v>0.74516000000000004</v>
      </c>
      <c r="E23" s="2">
        <v>2.08141</v>
      </c>
      <c r="F23" s="2">
        <v>20</v>
      </c>
      <c r="G23" s="2">
        <v>6.1333333333333329</v>
      </c>
      <c r="H23" s="2">
        <v>0.73043000000000002</v>
      </c>
      <c r="I23" s="8">
        <v>433.41399999999999</v>
      </c>
      <c r="J23">
        <v>1.8198124</v>
      </c>
      <c r="K23">
        <v>2.2198460999999998</v>
      </c>
      <c r="L23">
        <f t="shared" si="0"/>
        <v>-0.40003369999999983</v>
      </c>
      <c r="M23">
        <v>1.245090196925284E-2</v>
      </c>
      <c r="N23">
        <v>2.7526653523195459</v>
      </c>
      <c r="O23">
        <f t="shared" si="5"/>
        <v>0.40905578043752477</v>
      </c>
      <c r="P23">
        <v>2.3220000000000018E-2</v>
      </c>
      <c r="Q23">
        <f t="shared" si="6"/>
        <v>1.0345813782333593</v>
      </c>
      <c r="R23">
        <f t="shared" si="1"/>
        <v>0</v>
      </c>
      <c r="S23">
        <f t="shared" si="2"/>
        <v>0</v>
      </c>
      <c r="T23">
        <f t="shared" si="3"/>
        <v>1</v>
      </c>
      <c r="U23">
        <f t="shared" si="4"/>
        <v>0</v>
      </c>
      <c r="V23" s="9">
        <v>-2.9</v>
      </c>
    </row>
    <row r="24" spans="1:22" x14ac:dyDescent="0.15">
      <c r="A24" s="1">
        <v>37895</v>
      </c>
      <c r="B24" s="2">
        <v>0.25830999999999998</v>
      </c>
      <c r="C24" s="2">
        <v>-0.65834000000000004</v>
      </c>
      <c r="D24" s="2">
        <v>1.27589</v>
      </c>
      <c r="E24" s="2">
        <v>1.1831499999999999</v>
      </c>
      <c r="F24" s="2">
        <v>0</v>
      </c>
      <c r="G24" s="2">
        <v>5.833333333333333</v>
      </c>
      <c r="H24" s="2">
        <v>0.3453</v>
      </c>
      <c r="I24" s="8">
        <v>552.68100000000004</v>
      </c>
      <c r="J24">
        <v>1.9809389333333334</v>
      </c>
      <c r="K24">
        <v>2.2542806999999998</v>
      </c>
      <c r="L24">
        <f t="shared" si="0"/>
        <v>-0.27334176666666643</v>
      </c>
      <c r="M24">
        <v>-0.33445589101878131</v>
      </c>
      <c r="N24">
        <v>2.6237427442208072</v>
      </c>
      <c r="O24">
        <f t="shared" si="5"/>
        <v>6.1410426862571477E-3</v>
      </c>
      <c r="P24">
        <v>0.16974</v>
      </c>
      <c r="Q24">
        <f t="shared" si="6"/>
        <v>0.51723021682374148</v>
      </c>
      <c r="R24">
        <f t="shared" si="1"/>
        <v>0</v>
      </c>
      <c r="S24">
        <f t="shared" si="2"/>
        <v>0</v>
      </c>
      <c r="T24">
        <f t="shared" si="3"/>
        <v>0</v>
      </c>
      <c r="U24">
        <f t="shared" si="4"/>
        <v>1</v>
      </c>
      <c r="V24" s="9">
        <v>-3.5</v>
      </c>
    </row>
    <row r="25" spans="1:22" x14ac:dyDescent="0.15">
      <c r="A25" s="1">
        <v>37987</v>
      </c>
      <c r="B25" s="2">
        <v>0.48093000000000002</v>
      </c>
      <c r="C25" s="2">
        <v>1.0968899999999999</v>
      </c>
      <c r="D25" s="2">
        <v>0.83987999999999996</v>
      </c>
      <c r="E25" s="2">
        <v>1.70974</v>
      </c>
      <c r="F25" s="2">
        <v>22.22222</v>
      </c>
      <c r="G25" s="2">
        <v>5.7</v>
      </c>
      <c r="H25" s="2">
        <v>2.75292</v>
      </c>
      <c r="I25" s="8">
        <v>572.94100000000003</v>
      </c>
      <c r="J25">
        <v>1.8661496999999998</v>
      </c>
      <c r="K25">
        <v>2.2546310333333333</v>
      </c>
      <c r="L25">
        <f t="shared" si="0"/>
        <v>-0.38848133333333346</v>
      </c>
      <c r="M25">
        <v>-0.30865541048650236</v>
      </c>
      <c r="N25">
        <v>2.6032336871634048</v>
      </c>
      <c r="O25">
        <f t="shared" si="5"/>
        <v>-0.30415354216411616</v>
      </c>
      <c r="P25">
        <v>-0.47176000000000018</v>
      </c>
      <c r="Q25">
        <f t="shared" si="6"/>
        <v>7.6792379498931251E-2</v>
      </c>
      <c r="R25">
        <f t="shared" si="1"/>
        <v>1</v>
      </c>
      <c r="S25">
        <f t="shared" si="2"/>
        <v>0</v>
      </c>
      <c r="T25">
        <f t="shared" si="3"/>
        <v>0</v>
      </c>
      <c r="U25">
        <f t="shared" si="4"/>
        <v>0</v>
      </c>
      <c r="V25" s="9">
        <v>-2</v>
      </c>
    </row>
    <row r="26" spans="1:22" x14ac:dyDescent="0.15">
      <c r="A26" s="1">
        <v>38078</v>
      </c>
      <c r="B26" s="2">
        <v>0.63248000000000004</v>
      </c>
      <c r="C26" s="2">
        <v>0.85894999999999999</v>
      </c>
      <c r="D26" s="2">
        <v>0.83287999999999995</v>
      </c>
      <c r="E26" s="2">
        <v>1.2217199999999999</v>
      </c>
      <c r="F26" s="2">
        <v>4.5454499999999998</v>
      </c>
      <c r="G26" s="2">
        <v>5.6</v>
      </c>
      <c r="H26" s="2">
        <v>1.80844</v>
      </c>
      <c r="I26" s="8">
        <v>617.34500000000003</v>
      </c>
      <c r="J26">
        <v>2.2136490999999996</v>
      </c>
      <c r="K26">
        <v>2.3900448000000001</v>
      </c>
      <c r="L26">
        <f t="shared" si="0"/>
        <v>-0.17639570000000049</v>
      </c>
      <c r="M26">
        <v>0.35919820166653227</v>
      </c>
      <c r="N26">
        <v>2.222896676276557</v>
      </c>
      <c r="O26">
        <f t="shared" si="5"/>
        <v>-0.38180448273466094</v>
      </c>
      <c r="P26">
        <v>4.1853499999999997</v>
      </c>
      <c r="Q26">
        <f t="shared" si="6"/>
        <v>0.6309251965113627</v>
      </c>
      <c r="R26">
        <f t="shared" si="1"/>
        <v>0</v>
      </c>
      <c r="S26">
        <f t="shared" si="2"/>
        <v>1</v>
      </c>
      <c r="T26">
        <f t="shared" si="3"/>
        <v>0</v>
      </c>
      <c r="U26">
        <f t="shared" si="4"/>
        <v>0</v>
      </c>
      <c r="V26" s="9">
        <v>2</v>
      </c>
    </row>
    <row r="27" spans="1:22" x14ac:dyDescent="0.15">
      <c r="A27" s="1">
        <v>38169</v>
      </c>
      <c r="B27" s="2">
        <v>0.42465999999999998</v>
      </c>
      <c r="C27" s="2">
        <v>2.2859699999999998</v>
      </c>
      <c r="D27" s="2">
        <v>0.61051999999999995</v>
      </c>
      <c r="E27" s="2">
        <v>1.6721699999999999</v>
      </c>
      <c r="F27" s="2">
        <v>-39.130429999999997</v>
      </c>
      <c r="G27" s="2">
        <v>5.4333333333333336</v>
      </c>
      <c r="H27" s="2">
        <v>1.9078900000000001</v>
      </c>
      <c r="I27" s="8">
        <v>546.88499999999999</v>
      </c>
      <c r="J27">
        <v>2.4244902000000002</v>
      </c>
      <c r="K27">
        <v>2.4431248000000001</v>
      </c>
      <c r="L27">
        <f t="shared" si="0"/>
        <v>-1.8634599999999946E-2</v>
      </c>
      <c r="M27">
        <v>-0.15353222497575897</v>
      </c>
      <c r="N27">
        <v>2.0712333629111277</v>
      </c>
      <c r="O27">
        <f t="shared" si="5"/>
        <v>-0.6814319894084182</v>
      </c>
      <c r="P27">
        <v>1.17746</v>
      </c>
      <c r="Q27">
        <f t="shared" si="6"/>
        <v>-0.1659831269450118</v>
      </c>
      <c r="R27">
        <f t="shared" si="1"/>
        <v>0</v>
      </c>
      <c r="S27">
        <f t="shared" si="2"/>
        <v>0</v>
      </c>
      <c r="T27">
        <f t="shared" si="3"/>
        <v>1</v>
      </c>
      <c r="U27">
        <f t="shared" si="4"/>
        <v>0</v>
      </c>
      <c r="V27" s="9">
        <v>-0.4</v>
      </c>
    </row>
    <row r="28" spans="1:22" x14ac:dyDescent="0.15">
      <c r="A28" s="1">
        <v>38261</v>
      </c>
      <c r="B28" s="2">
        <v>0.60892999999999997</v>
      </c>
      <c r="C28" s="2">
        <v>1.3803700000000001</v>
      </c>
      <c r="D28" s="2">
        <v>0.76744999999999997</v>
      </c>
      <c r="E28" s="2">
        <v>1.9959800000000001</v>
      </c>
      <c r="F28" s="2">
        <v>57.142859999999999</v>
      </c>
      <c r="G28" s="2">
        <v>5.4333333333333336</v>
      </c>
      <c r="H28" s="2">
        <v>1.7753399999999999</v>
      </c>
      <c r="I28" s="8">
        <v>574.65800000000002</v>
      </c>
      <c r="J28">
        <v>2.0350611666666669</v>
      </c>
      <c r="K28">
        <v>2.3348616333333334</v>
      </c>
      <c r="L28">
        <f t="shared" si="0"/>
        <v>-0.29980046666666649</v>
      </c>
      <c r="M28">
        <v>-0.18801520112838477</v>
      </c>
      <c r="N28">
        <v>2.1478561518567001</v>
      </c>
      <c r="O28">
        <f t="shared" si="5"/>
        <v>-0.47588659236410713</v>
      </c>
      <c r="P28">
        <v>1.43004</v>
      </c>
      <c r="Q28">
        <f t="shared" si="6"/>
        <v>0.14644068989039655</v>
      </c>
      <c r="R28">
        <f t="shared" si="1"/>
        <v>0</v>
      </c>
      <c r="S28">
        <f t="shared" si="2"/>
        <v>0</v>
      </c>
      <c r="T28">
        <f t="shared" si="3"/>
        <v>0</v>
      </c>
      <c r="U28">
        <f t="shared" si="4"/>
        <v>1</v>
      </c>
      <c r="V28" s="9">
        <v>3.1</v>
      </c>
    </row>
    <row r="29" spans="1:22" x14ac:dyDescent="0.15">
      <c r="A29" s="1">
        <v>38353</v>
      </c>
      <c r="B29" s="2">
        <v>0.62205999999999995</v>
      </c>
      <c r="C29" s="2">
        <v>0.92932999999999999</v>
      </c>
      <c r="D29" s="2">
        <v>0.42508000000000001</v>
      </c>
      <c r="E29" s="2">
        <v>1.2199199999999999</v>
      </c>
      <c r="F29" s="2">
        <v>31.818180000000002</v>
      </c>
      <c r="G29" s="2">
        <v>5.3</v>
      </c>
      <c r="H29" s="2">
        <v>0.82460999999999995</v>
      </c>
      <c r="I29" s="8">
        <v>688.35599999999999</v>
      </c>
      <c r="J29">
        <v>2.2039482333333331</v>
      </c>
      <c r="K29">
        <v>2.4047694999999996</v>
      </c>
      <c r="L29">
        <f t="shared" si="0"/>
        <v>-0.20082126666666644</v>
      </c>
      <c r="M29">
        <v>-0.1729841134028022</v>
      </c>
      <c r="N29">
        <v>2.1587105124769419</v>
      </c>
      <c r="O29">
        <f t="shared" si="5"/>
        <v>-0.44452317468646285</v>
      </c>
      <c r="P29">
        <v>-1.9283100000000002</v>
      </c>
      <c r="Q29">
        <f t="shared" si="6"/>
        <v>0.13567129708370015</v>
      </c>
      <c r="R29">
        <f t="shared" si="1"/>
        <v>1</v>
      </c>
      <c r="S29">
        <f t="shared" si="2"/>
        <v>0</v>
      </c>
      <c r="T29">
        <f t="shared" si="3"/>
        <v>0</v>
      </c>
      <c r="U29">
        <f t="shared" si="4"/>
        <v>0</v>
      </c>
      <c r="V29" s="9">
        <v>1.6</v>
      </c>
    </row>
    <row r="30" spans="1:22" x14ac:dyDescent="0.15">
      <c r="A30" s="1">
        <v>38443</v>
      </c>
      <c r="B30" s="2">
        <v>0.46783999999999998</v>
      </c>
      <c r="C30" s="2">
        <v>2.86938</v>
      </c>
      <c r="D30" s="2">
        <v>0.74073999999999995</v>
      </c>
      <c r="E30" s="2">
        <v>1.74701</v>
      </c>
      <c r="F30" s="2">
        <v>-31.034479999999999</v>
      </c>
      <c r="G30" s="2">
        <v>5.0999999999999996</v>
      </c>
      <c r="H30" s="2">
        <v>2.5165099999999998</v>
      </c>
      <c r="I30" s="8">
        <v>658.505</v>
      </c>
      <c r="J30">
        <v>2.467419033333333</v>
      </c>
      <c r="K30">
        <v>2.4067037333333334</v>
      </c>
      <c r="L30">
        <f t="shared" si="0"/>
        <v>6.0715299999999583E-2</v>
      </c>
      <c r="M30">
        <v>-1.0636656476427275</v>
      </c>
      <c r="N30">
        <v>1.8127847739697793</v>
      </c>
      <c r="O30">
        <f t="shared" si="5"/>
        <v>-0.41011190230677763</v>
      </c>
      <c r="P30">
        <v>0.70806999999999976</v>
      </c>
      <c r="Q30">
        <f t="shared" si="6"/>
        <v>-1.4228638493092598</v>
      </c>
      <c r="R30">
        <f t="shared" si="1"/>
        <v>0</v>
      </c>
      <c r="S30">
        <f t="shared" si="2"/>
        <v>1</v>
      </c>
      <c r="T30">
        <f t="shared" si="3"/>
        <v>0</v>
      </c>
      <c r="U30">
        <f t="shared" si="4"/>
        <v>0</v>
      </c>
      <c r="V30" s="9">
        <v>0.6</v>
      </c>
    </row>
    <row r="31" spans="1:22" x14ac:dyDescent="0.15">
      <c r="A31" s="1">
        <v>38534</v>
      </c>
      <c r="B31" s="2">
        <v>0.33261000000000002</v>
      </c>
      <c r="C31" s="2">
        <v>4.2048300000000003</v>
      </c>
      <c r="D31" s="2">
        <v>0.33262999999999998</v>
      </c>
      <c r="E31" s="2">
        <v>1.9189099999999999</v>
      </c>
      <c r="F31" s="2">
        <v>-20</v>
      </c>
      <c r="G31" s="2">
        <v>4.9666666666666668</v>
      </c>
      <c r="H31" s="2">
        <v>3.4059499999999998</v>
      </c>
      <c r="I31" s="8">
        <v>692.76199999999994</v>
      </c>
      <c r="J31">
        <v>2.3831456666666666</v>
      </c>
      <c r="K31">
        <v>2.3948087666666664</v>
      </c>
      <c r="L31">
        <f t="shared" si="0"/>
        <v>-1.1663099999999815E-2</v>
      </c>
      <c r="M31">
        <v>-0.43360888861236502</v>
      </c>
      <c r="N31">
        <v>1.6973617661352318</v>
      </c>
      <c r="O31">
        <f t="shared" si="5"/>
        <v>-0.37387159677589588</v>
      </c>
      <c r="P31">
        <v>1.4980599999999997</v>
      </c>
      <c r="Q31">
        <f t="shared" si="6"/>
        <v>-0.28007666363660605</v>
      </c>
      <c r="R31">
        <f t="shared" si="1"/>
        <v>0</v>
      </c>
      <c r="S31">
        <f t="shared" si="2"/>
        <v>0</v>
      </c>
      <c r="T31">
        <f t="shared" si="3"/>
        <v>1</v>
      </c>
      <c r="U31">
        <f t="shared" si="4"/>
        <v>0</v>
      </c>
      <c r="V31" s="9">
        <v>7.4</v>
      </c>
    </row>
    <row r="32" spans="1:22" x14ac:dyDescent="0.15">
      <c r="A32" s="1">
        <v>38626</v>
      </c>
      <c r="B32" s="2">
        <v>0.66302000000000005</v>
      </c>
      <c r="C32" s="2">
        <v>9.8881300000000003</v>
      </c>
      <c r="D32" s="2">
        <v>0.75031000000000003</v>
      </c>
      <c r="E32" s="2">
        <v>0.98292000000000002</v>
      </c>
      <c r="F32" s="2">
        <v>68.75</v>
      </c>
      <c r="G32" s="2">
        <v>4.9666666666666668</v>
      </c>
      <c r="H32" s="2">
        <v>0.62314999999999998</v>
      </c>
      <c r="I32" s="8">
        <v>665.49099999999999</v>
      </c>
      <c r="J32">
        <v>3.0418845666666665</v>
      </c>
      <c r="K32">
        <v>2.5651290999999996</v>
      </c>
      <c r="L32">
        <f t="shared" si="0"/>
        <v>0.4767554666666669</v>
      </c>
      <c r="M32">
        <v>-0.48204382800769618</v>
      </c>
      <c r="N32">
        <v>1.7722095450660893</v>
      </c>
      <c r="O32">
        <f t="shared" si="5"/>
        <v>-0.37564660679061079</v>
      </c>
      <c r="P32">
        <v>-1.15219</v>
      </c>
      <c r="Q32">
        <f t="shared" si="6"/>
        <v>-0.29402862687931142</v>
      </c>
      <c r="R32">
        <f t="shared" si="1"/>
        <v>0</v>
      </c>
      <c r="S32">
        <f t="shared" si="2"/>
        <v>0</v>
      </c>
      <c r="T32">
        <f t="shared" si="3"/>
        <v>0</v>
      </c>
      <c r="U32">
        <f t="shared" si="4"/>
        <v>1</v>
      </c>
      <c r="V32" s="9">
        <v>2.6</v>
      </c>
    </row>
    <row r="33" spans="1:22" x14ac:dyDescent="0.15">
      <c r="A33" s="1">
        <v>38718</v>
      </c>
      <c r="B33" s="2">
        <v>0.62572000000000005</v>
      </c>
      <c r="C33" s="2">
        <v>1.4724600000000001</v>
      </c>
      <c r="D33" s="2">
        <v>0.81398999999999999</v>
      </c>
      <c r="E33" s="2">
        <v>1.6180399999999999</v>
      </c>
      <c r="F33" s="2">
        <v>-14.81481</v>
      </c>
      <c r="G33" s="2">
        <v>4.7333333333333334</v>
      </c>
      <c r="H33" s="2">
        <v>2.9489999999999999E-2</v>
      </c>
      <c r="I33" s="8">
        <v>695.43499999999995</v>
      </c>
      <c r="J33">
        <v>2.2265568333333334</v>
      </c>
      <c r="K33">
        <v>2.4788540999999999</v>
      </c>
      <c r="L33">
        <f t="shared" si="0"/>
        <v>-0.25229726666666652</v>
      </c>
      <c r="M33">
        <v>-0.51544945095580152</v>
      </c>
      <c r="N33">
        <v>1.7150107952079872</v>
      </c>
      <c r="O33">
        <f t="shared" si="5"/>
        <v>-0.44369971726895474</v>
      </c>
      <c r="P33">
        <v>-0.79511999999999994</v>
      </c>
      <c r="Q33">
        <f t="shared" si="6"/>
        <v>-0.34246533755299935</v>
      </c>
      <c r="R33">
        <f t="shared" si="1"/>
        <v>1</v>
      </c>
      <c r="S33">
        <f t="shared" si="2"/>
        <v>0</v>
      </c>
      <c r="T33">
        <f t="shared" si="3"/>
        <v>0</v>
      </c>
      <c r="U33">
        <f t="shared" si="4"/>
        <v>0</v>
      </c>
      <c r="V33" s="9">
        <v>-4.5999999999999996</v>
      </c>
    </row>
    <row r="34" spans="1:22" x14ac:dyDescent="0.15">
      <c r="A34" s="1">
        <v>38808</v>
      </c>
      <c r="B34" s="2">
        <v>0.81820000000000004</v>
      </c>
      <c r="C34" s="2">
        <v>-2.8842699999999999</v>
      </c>
      <c r="D34" s="2">
        <v>5.1540000000000002E-2</v>
      </c>
      <c r="E34" s="2">
        <v>1.40107</v>
      </c>
      <c r="F34" s="2">
        <v>39.130429999999997</v>
      </c>
      <c r="G34" s="2">
        <v>4.6333333333333329</v>
      </c>
      <c r="H34" s="2">
        <v>3.0660400000000001</v>
      </c>
      <c r="I34" s="8">
        <v>685.44100000000003</v>
      </c>
      <c r="J34">
        <v>2.7702709666666667</v>
      </c>
      <c r="K34">
        <v>2.6517205000000001</v>
      </c>
      <c r="L34">
        <f t="shared" si="0"/>
        <v>0.11855046666666658</v>
      </c>
      <c r="M34">
        <v>9.9020742228605282E-2</v>
      </c>
      <c r="N34">
        <v>1.4579827360581781</v>
      </c>
      <c r="O34">
        <f t="shared" si="5"/>
        <v>-0.35480203791160125</v>
      </c>
      <c r="P34">
        <v>0.5495300000000003</v>
      </c>
      <c r="Q34">
        <f t="shared" si="6"/>
        <v>1.1626863898713329</v>
      </c>
      <c r="R34">
        <f t="shared" si="1"/>
        <v>0</v>
      </c>
      <c r="S34">
        <f t="shared" si="2"/>
        <v>1</v>
      </c>
      <c r="T34">
        <f t="shared" si="3"/>
        <v>0</v>
      </c>
      <c r="U34">
        <f t="shared" si="4"/>
        <v>0</v>
      </c>
      <c r="V34" s="9">
        <v>-2.5</v>
      </c>
    </row>
    <row r="35" spans="1:22" x14ac:dyDescent="0.15">
      <c r="A35" s="1">
        <v>38899</v>
      </c>
      <c r="B35" s="2">
        <v>0.68171000000000004</v>
      </c>
      <c r="C35" s="2">
        <v>0.36893999999999999</v>
      </c>
      <c r="D35" s="2">
        <v>0.73831999999999998</v>
      </c>
      <c r="E35" s="2">
        <v>1.3669</v>
      </c>
      <c r="F35" s="2">
        <v>-31.25</v>
      </c>
      <c r="G35" s="2">
        <v>4.6333333333333329</v>
      </c>
      <c r="H35" s="2">
        <v>1.0297499999999999</v>
      </c>
      <c r="I35" s="8">
        <v>567.61</v>
      </c>
      <c r="J35">
        <v>2.7729631000000006</v>
      </c>
      <c r="K35">
        <v>2.6196023666666663</v>
      </c>
      <c r="L35">
        <f t="shared" si="0"/>
        <v>0.15336073333333422</v>
      </c>
      <c r="M35">
        <v>-0.23258570270987053</v>
      </c>
      <c r="N35">
        <v>1.4881903812692727</v>
      </c>
      <c r="O35">
        <f t="shared" si="5"/>
        <v>-0.2091713848659591</v>
      </c>
      <c r="P35">
        <v>-2.3761999999999999</v>
      </c>
      <c r="Q35">
        <f t="shared" si="6"/>
        <v>0.20102318590249449</v>
      </c>
      <c r="R35">
        <f t="shared" si="1"/>
        <v>0</v>
      </c>
      <c r="S35">
        <f t="shared" si="2"/>
        <v>0</v>
      </c>
      <c r="T35">
        <f t="shared" si="3"/>
        <v>1</v>
      </c>
      <c r="U35">
        <f t="shared" si="4"/>
        <v>0</v>
      </c>
      <c r="V35" s="9">
        <v>0.2</v>
      </c>
    </row>
    <row r="36" spans="1:22" x14ac:dyDescent="0.15">
      <c r="A36" s="1">
        <v>38991</v>
      </c>
      <c r="B36" s="2">
        <v>0.51588000000000001</v>
      </c>
      <c r="C36" s="2">
        <v>-0.64326000000000005</v>
      </c>
      <c r="D36" s="2">
        <v>0.71587000000000001</v>
      </c>
      <c r="E36" s="2">
        <v>0.78649000000000002</v>
      </c>
      <c r="F36" s="2">
        <v>-22.727270000000001</v>
      </c>
      <c r="G36" s="2">
        <v>4.4333333333333336</v>
      </c>
      <c r="H36" s="2">
        <v>-3.1143800000000001</v>
      </c>
      <c r="I36" s="8">
        <v>538.53</v>
      </c>
      <c r="J36">
        <v>2.0930832666666666</v>
      </c>
      <c r="K36">
        <v>2.403842566666667</v>
      </c>
      <c r="L36">
        <f t="shared" si="0"/>
        <v>-0.3107593000000004</v>
      </c>
      <c r="M36">
        <v>-0.39014118765540812</v>
      </c>
      <c r="N36">
        <v>1.4791998629338172</v>
      </c>
      <c r="O36">
        <f t="shared" si="5"/>
        <v>-0.29300968213227208</v>
      </c>
      <c r="P36">
        <v>-3.73753</v>
      </c>
      <c r="Q36">
        <f t="shared" si="6"/>
        <v>9.1902640352288067E-2</v>
      </c>
      <c r="R36">
        <f t="shared" si="1"/>
        <v>0</v>
      </c>
      <c r="S36">
        <f t="shared" si="2"/>
        <v>0</v>
      </c>
      <c r="T36">
        <f t="shared" si="3"/>
        <v>0</v>
      </c>
      <c r="U36">
        <f t="shared" si="4"/>
        <v>1</v>
      </c>
      <c r="V36" s="9">
        <v>-0.8</v>
      </c>
    </row>
    <row r="37" spans="1:22" x14ac:dyDescent="0.15">
      <c r="A37" s="1">
        <v>39083</v>
      </c>
      <c r="B37" s="2">
        <v>0.58589000000000002</v>
      </c>
      <c r="C37" s="2">
        <v>2.3575699999999999</v>
      </c>
      <c r="D37" s="2">
        <v>1.4071800000000001</v>
      </c>
      <c r="E37" s="2">
        <v>1.5356000000000001</v>
      </c>
      <c r="F37" s="2">
        <v>64.705879999999993</v>
      </c>
      <c r="G37" s="2">
        <v>4.5</v>
      </c>
      <c r="H37" s="2">
        <v>0.43834000000000001</v>
      </c>
      <c r="I37" s="8">
        <v>409.92700000000002</v>
      </c>
      <c r="J37">
        <v>2.7070377666666667</v>
      </c>
      <c r="K37">
        <v>2.5214612333333331</v>
      </c>
      <c r="L37">
        <f t="shared" si="0"/>
        <v>0.18557653333333368</v>
      </c>
      <c r="M37">
        <v>-0.72224538249412851</v>
      </c>
      <c r="N37">
        <v>1.5577013826111454</v>
      </c>
      <c r="O37">
        <f t="shared" si="5"/>
        <v>-0.15730941259684172</v>
      </c>
      <c r="P37">
        <v>0.40884999999999999</v>
      </c>
      <c r="Q37">
        <f t="shared" si="6"/>
        <v>-0.20679593153832698</v>
      </c>
      <c r="R37">
        <f t="shared" si="1"/>
        <v>1</v>
      </c>
      <c r="S37">
        <f t="shared" si="2"/>
        <v>0</v>
      </c>
      <c r="T37">
        <f t="shared" si="3"/>
        <v>0</v>
      </c>
      <c r="U37">
        <f t="shared" si="4"/>
        <v>0</v>
      </c>
      <c r="V37" s="9">
        <v>-1.5</v>
      </c>
    </row>
    <row r="38" spans="1:22" x14ac:dyDescent="0.15">
      <c r="A38" s="1">
        <v>39173</v>
      </c>
      <c r="B38" s="2">
        <v>0.48537000000000002</v>
      </c>
      <c r="C38" s="2">
        <v>1.331</v>
      </c>
      <c r="D38" s="2">
        <v>0.97411000000000003</v>
      </c>
      <c r="E38" s="2">
        <v>1.11365</v>
      </c>
      <c r="F38" s="2">
        <v>-39.285710000000002</v>
      </c>
      <c r="G38" s="2">
        <v>4.5</v>
      </c>
      <c r="H38" s="2">
        <v>3.6078000000000001</v>
      </c>
      <c r="I38" s="8">
        <v>457.47199999999998</v>
      </c>
      <c r="J38">
        <v>2.9524565666666667</v>
      </c>
      <c r="K38">
        <v>2.5583009333333333</v>
      </c>
      <c r="L38">
        <f t="shared" si="0"/>
        <v>0.39415563333333337</v>
      </c>
      <c r="M38">
        <v>-0.54252447731999898</v>
      </c>
      <c r="N38">
        <v>1.3876808218645831</v>
      </c>
      <c r="O38">
        <f t="shared" si="5"/>
        <v>-7.0301914193594994E-2</v>
      </c>
      <c r="P38">
        <v>0.54176000000000002</v>
      </c>
      <c r="Q38">
        <f t="shared" si="6"/>
        <v>-0.64154521954860422</v>
      </c>
      <c r="R38">
        <f t="shared" si="1"/>
        <v>0</v>
      </c>
      <c r="S38">
        <f t="shared" si="2"/>
        <v>1</v>
      </c>
      <c r="T38">
        <f t="shared" si="3"/>
        <v>0</v>
      </c>
      <c r="U38">
        <f t="shared" si="4"/>
        <v>0</v>
      </c>
      <c r="V38" s="9">
        <v>-3.3</v>
      </c>
    </row>
    <row r="39" spans="1:22" x14ac:dyDescent="0.15">
      <c r="A39" s="1">
        <v>39264</v>
      </c>
      <c r="B39" s="2">
        <v>0.51554999999999995</v>
      </c>
      <c r="C39" s="2">
        <v>-0.49312</v>
      </c>
      <c r="D39" s="2">
        <v>1.13957</v>
      </c>
      <c r="E39" s="2">
        <v>1.23604</v>
      </c>
      <c r="F39" s="2">
        <v>17.64706</v>
      </c>
      <c r="G39" s="2">
        <v>4.666666666666667</v>
      </c>
      <c r="H39" s="2">
        <v>2.33081</v>
      </c>
      <c r="I39" s="8">
        <v>497.101</v>
      </c>
      <c r="J39">
        <v>2.6139644</v>
      </c>
      <c r="K39">
        <v>2.5137561333333336</v>
      </c>
      <c r="L39">
        <f t="shared" si="0"/>
        <v>0.10020826666666638</v>
      </c>
      <c r="M39">
        <v>-0.20307635594825046</v>
      </c>
      <c r="N39">
        <v>1.5139045227821126</v>
      </c>
      <c r="O39">
        <f t="shared" si="5"/>
        <v>2.5714141512839905E-2</v>
      </c>
      <c r="P39">
        <v>1.3010600000000001</v>
      </c>
      <c r="Q39">
        <f t="shared" si="6"/>
        <v>2.9509346761620064E-2</v>
      </c>
      <c r="R39">
        <f t="shared" si="1"/>
        <v>0</v>
      </c>
      <c r="S39">
        <f t="shared" si="2"/>
        <v>0</v>
      </c>
      <c r="T39">
        <f t="shared" si="3"/>
        <v>1</v>
      </c>
      <c r="U39">
        <f t="shared" si="4"/>
        <v>0</v>
      </c>
      <c r="V39" s="9">
        <v>4.3</v>
      </c>
    </row>
    <row r="40" spans="1:22" x14ac:dyDescent="0.15">
      <c r="A40" s="1">
        <v>39356</v>
      </c>
      <c r="B40" s="2">
        <v>0.70392999999999994</v>
      </c>
      <c r="C40" s="2">
        <v>0.98234999999999995</v>
      </c>
      <c r="D40" s="2">
        <v>1.1161099999999999</v>
      </c>
      <c r="E40" s="2">
        <v>1.41622</v>
      </c>
      <c r="F40" s="2">
        <v>40</v>
      </c>
      <c r="G40" s="2">
        <v>4.8</v>
      </c>
      <c r="H40" s="2">
        <v>3.8419300000000001</v>
      </c>
      <c r="I40" s="8">
        <v>449.596</v>
      </c>
      <c r="J40">
        <v>2.4892767</v>
      </c>
      <c r="K40">
        <v>2.3277174333333335</v>
      </c>
      <c r="L40">
        <f t="shared" si="0"/>
        <v>0.16155926666666653</v>
      </c>
      <c r="M40">
        <v>-0.43086101860281473</v>
      </c>
      <c r="N40">
        <v>1.6107397453637435</v>
      </c>
      <c r="O40">
        <f t="shared" si="5"/>
        <v>0.13153988242992631</v>
      </c>
      <c r="P40">
        <v>6.9563100000000002</v>
      </c>
      <c r="Q40">
        <f t="shared" si="6"/>
        <v>-4.071983094740661E-2</v>
      </c>
      <c r="R40">
        <f t="shared" si="1"/>
        <v>0</v>
      </c>
      <c r="S40">
        <f t="shared" si="2"/>
        <v>0</v>
      </c>
      <c r="T40">
        <f t="shared" si="3"/>
        <v>0</v>
      </c>
      <c r="U40">
        <f t="shared" si="4"/>
        <v>1</v>
      </c>
      <c r="V40" s="9">
        <v>5.7</v>
      </c>
    </row>
    <row r="41" spans="1:22" x14ac:dyDescent="0.15">
      <c r="A41" s="1">
        <v>39448</v>
      </c>
      <c r="B41" s="2">
        <v>0.66232000000000002</v>
      </c>
      <c r="C41" s="2">
        <v>1.4074599999999999</v>
      </c>
      <c r="D41" s="2">
        <v>1.35622</v>
      </c>
      <c r="E41" s="2">
        <v>0.67759000000000003</v>
      </c>
      <c r="F41" s="2">
        <v>-25</v>
      </c>
      <c r="G41" s="2">
        <v>5</v>
      </c>
      <c r="H41" s="2">
        <v>3.6469299999999998</v>
      </c>
      <c r="I41" s="8">
        <v>256.036</v>
      </c>
      <c r="J41">
        <v>2.2326950666666669</v>
      </c>
      <c r="K41">
        <v>2.0628457</v>
      </c>
      <c r="L41">
        <f t="shared" si="0"/>
        <v>0.16984936666666695</v>
      </c>
      <c r="M41">
        <v>6.9733141673575721E-2</v>
      </c>
      <c r="N41">
        <v>1.8827679837889282</v>
      </c>
      <c r="O41">
        <f t="shared" si="5"/>
        <v>0.32506660117778274</v>
      </c>
      <c r="P41">
        <v>3.2085899999999996</v>
      </c>
      <c r="Q41">
        <f t="shared" si="6"/>
        <v>0.7919785241677042</v>
      </c>
      <c r="R41">
        <f t="shared" si="1"/>
        <v>1</v>
      </c>
      <c r="S41">
        <f t="shared" si="2"/>
        <v>0</v>
      </c>
      <c r="T41">
        <f t="shared" si="3"/>
        <v>0</v>
      </c>
      <c r="U41">
        <f t="shared" si="4"/>
        <v>0</v>
      </c>
      <c r="V41" s="9">
        <v>3.4</v>
      </c>
    </row>
    <row r="42" spans="1:22" x14ac:dyDescent="0.15">
      <c r="A42" s="1">
        <v>39539</v>
      </c>
      <c r="B42" s="2">
        <v>0.43448999999999999</v>
      </c>
      <c r="C42" s="2">
        <v>6.6076100000000002</v>
      </c>
      <c r="D42" s="2">
        <v>1.4716899999999999</v>
      </c>
      <c r="E42" s="2">
        <v>1.2537700000000001</v>
      </c>
      <c r="F42" s="2">
        <v>-19.047619999999998</v>
      </c>
      <c r="G42" s="2">
        <v>5.333333333333333</v>
      </c>
      <c r="H42" s="2">
        <v>8.1081099999999999</v>
      </c>
      <c r="I42" s="8">
        <v>210.33</v>
      </c>
      <c r="J42">
        <v>2.3442864333333331</v>
      </c>
      <c r="K42">
        <v>2.1749102000000002</v>
      </c>
      <c r="L42">
        <f t="shared" si="0"/>
        <v>0.16937623333333285</v>
      </c>
      <c r="M42">
        <v>7.5133837126891381E-2</v>
      </c>
      <c r="N42">
        <v>1.9705153719024799</v>
      </c>
      <c r="O42">
        <f t="shared" si="5"/>
        <v>0.58283455003789686</v>
      </c>
      <c r="P42">
        <v>4.5003099999999998</v>
      </c>
      <c r="Q42">
        <f t="shared" si="6"/>
        <v>0.61765831444689034</v>
      </c>
      <c r="R42">
        <f t="shared" si="1"/>
        <v>0</v>
      </c>
      <c r="S42">
        <f t="shared" si="2"/>
        <v>1</v>
      </c>
      <c r="T42">
        <f t="shared" si="3"/>
        <v>0</v>
      </c>
      <c r="U42">
        <f t="shared" si="4"/>
        <v>0</v>
      </c>
      <c r="V42" s="9">
        <v>7.6</v>
      </c>
    </row>
    <row r="43" spans="1:22" x14ac:dyDescent="0.15">
      <c r="A43" s="1">
        <v>39630</v>
      </c>
      <c r="B43" s="2">
        <v>0.64365000000000006</v>
      </c>
      <c r="C43" s="2">
        <v>4.2027000000000001</v>
      </c>
      <c r="D43" s="2">
        <v>2.0455700000000001</v>
      </c>
      <c r="E43" s="2">
        <v>0.28793000000000002</v>
      </c>
      <c r="F43" s="2">
        <v>23.529409999999999</v>
      </c>
      <c r="G43" s="2">
        <v>6</v>
      </c>
      <c r="H43" s="2">
        <v>1.0141500000000001</v>
      </c>
      <c r="I43" s="8">
        <v>99.334999999999994</v>
      </c>
      <c r="J43">
        <v>2.9108299333333334</v>
      </c>
      <c r="K43">
        <v>2.299965966666667</v>
      </c>
      <c r="L43">
        <f t="shared" si="0"/>
        <v>0.61086396666666642</v>
      </c>
      <c r="M43">
        <v>0.23644848329106449</v>
      </c>
      <c r="N43">
        <v>2.5590965766918639</v>
      </c>
      <c r="O43">
        <f t="shared" si="5"/>
        <v>1.0451920539097512</v>
      </c>
      <c r="P43">
        <v>-1.3166599999999999</v>
      </c>
      <c r="Q43">
        <f t="shared" si="6"/>
        <v>0.43952483923931496</v>
      </c>
      <c r="R43">
        <f t="shared" si="1"/>
        <v>0</v>
      </c>
      <c r="S43">
        <f t="shared" si="2"/>
        <v>0</v>
      </c>
      <c r="T43">
        <f t="shared" si="3"/>
        <v>1</v>
      </c>
      <c r="U43">
        <f t="shared" si="4"/>
        <v>0</v>
      </c>
      <c r="V43" s="9">
        <v>15.9</v>
      </c>
    </row>
    <row r="44" spans="1:22" x14ac:dyDescent="0.15">
      <c r="A44" s="1">
        <v>39722</v>
      </c>
      <c r="B44" s="2">
        <v>0.24481</v>
      </c>
      <c r="C44" s="2">
        <v>-3.6889400000000001</v>
      </c>
      <c r="D44" s="2">
        <v>1.05864</v>
      </c>
      <c r="E44" s="2">
        <v>-2.4818600000000002</v>
      </c>
      <c r="F44" s="2">
        <v>-114.28570999999999</v>
      </c>
      <c r="G44" s="2">
        <v>6.8666666666666671</v>
      </c>
      <c r="H44" s="2">
        <v>-14.98949</v>
      </c>
      <c r="I44" s="8">
        <v>-313.46600000000001</v>
      </c>
      <c r="J44">
        <v>0.89160237666666664</v>
      </c>
      <c r="K44">
        <v>1.8981964666666666</v>
      </c>
      <c r="L44">
        <f t="shared" si="0"/>
        <v>-1.0065940900000001</v>
      </c>
      <c r="M44">
        <v>-1.0563360952034311</v>
      </c>
      <c r="N44">
        <v>3.3682478743444939</v>
      </c>
      <c r="O44">
        <f t="shared" si="5"/>
        <v>1.7575081289807504</v>
      </c>
      <c r="P44">
        <v>-18.831420000000001</v>
      </c>
      <c r="Q44">
        <f t="shared" si="6"/>
        <v>-0.6254750766006163</v>
      </c>
      <c r="R44">
        <f t="shared" si="1"/>
        <v>0</v>
      </c>
      <c r="S44">
        <f t="shared" si="2"/>
        <v>0</v>
      </c>
      <c r="T44">
        <f t="shared" si="3"/>
        <v>0</v>
      </c>
      <c r="U44">
        <f t="shared" si="4"/>
        <v>1</v>
      </c>
      <c r="V44" s="9">
        <v>12.5</v>
      </c>
    </row>
    <row r="45" spans="1:22" x14ac:dyDescent="0.15">
      <c r="A45" s="1">
        <v>39814</v>
      </c>
      <c r="B45" s="2">
        <v>0.41972999999999999</v>
      </c>
      <c r="C45" s="2">
        <v>-1.7994600000000001</v>
      </c>
      <c r="D45" s="2">
        <v>0.18101999999999999</v>
      </c>
      <c r="E45" s="2">
        <v>-0.92830999999999997</v>
      </c>
      <c r="F45" s="2">
        <v>-100</v>
      </c>
      <c r="G45" s="2">
        <v>8.2666666666666675</v>
      </c>
      <c r="H45" s="2">
        <v>-6.7289199999999996</v>
      </c>
      <c r="I45" s="8">
        <v>-391.35899999999998</v>
      </c>
      <c r="J45">
        <v>0.12484796666666668</v>
      </c>
      <c r="K45">
        <v>1.6413906666666669</v>
      </c>
      <c r="L45">
        <f t="shared" si="0"/>
        <v>-1.5165427000000002</v>
      </c>
      <c r="M45">
        <v>-0.21542841722589737</v>
      </c>
      <c r="N45">
        <v>5.1180153123661967</v>
      </c>
      <c r="O45">
        <f t="shared" si="5"/>
        <v>3.2352473285772687</v>
      </c>
      <c r="P45">
        <v>-10.37585</v>
      </c>
      <c r="Q45">
        <f t="shared" si="6"/>
        <v>-0.28516155889947309</v>
      </c>
      <c r="R45">
        <f t="shared" si="1"/>
        <v>1</v>
      </c>
      <c r="S45">
        <f t="shared" si="2"/>
        <v>0</v>
      </c>
      <c r="T45">
        <f t="shared" si="3"/>
        <v>0</v>
      </c>
      <c r="U45">
        <f t="shared" si="4"/>
        <v>0</v>
      </c>
      <c r="V45" s="9">
        <v>-6.5</v>
      </c>
    </row>
    <row r="46" spans="1:22" x14ac:dyDescent="0.15">
      <c r="A46" s="1">
        <v>39904</v>
      </c>
      <c r="B46" s="2">
        <v>0.50980000000000003</v>
      </c>
      <c r="C46" s="2">
        <v>-3.89093</v>
      </c>
      <c r="D46" s="2">
        <v>-0.57065999999999995</v>
      </c>
      <c r="E46" s="2">
        <v>-9.6449999999999994E-2</v>
      </c>
      <c r="F46" s="5" t="e">
        <f>NA()</f>
        <v>#N/A</v>
      </c>
      <c r="G46" s="2">
        <v>9.3000000000000007</v>
      </c>
      <c r="H46" s="2">
        <v>3.5335700000000001</v>
      </c>
      <c r="I46" s="8">
        <v>-579.74800000000005</v>
      </c>
      <c r="J46">
        <v>1.2668979333333332</v>
      </c>
      <c r="K46">
        <v>1.8535621666666664</v>
      </c>
      <c r="L46">
        <f t="shared" si="0"/>
        <v>-0.58666423333333317</v>
      </c>
      <c r="M46">
        <v>0.21713132019006978</v>
      </c>
      <c r="N46">
        <v>5.5712051184187521</v>
      </c>
      <c r="O46">
        <f t="shared" si="5"/>
        <v>3.6006897465162719</v>
      </c>
      <c r="P46">
        <v>-4.5745399999999998</v>
      </c>
      <c r="Q46">
        <f t="shared" si="6"/>
        <v>0.14199748306317839</v>
      </c>
      <c r="R46">
        <f t="shared" si="1"/>
        <v>0</v>
      </c>
      <c r="S46">
        <f t="shared" si="2"/>
        <v>1</v>
      </c>
      <c r="T46">
        <f t="shared" si="3"/>
        <v>0</v>
      </c>
      <c r="U46">
        <f t="shared" si="4"/>
        <v>0</v>
      </c>
      <c r="V46" s="9">
        <v>-9.1999999999999993</v>
      </c>
    </row>
    <row r="47" spans="1:22" x14ac:dyDescent="0.15">
      <c r="A47" s="1">
        <v>39995</v>
      </c>
      <c r="B47" s="2">
        <v>0.29799999999999999</v>
      </c>
      <c r="C47" s="2">
        <v>-1.3670500000000001</v>
      </c>
      <c r="D47" s="2">
        <v>-0.29110000000000003</v>
      </c>
      <c r="E47" s="2">
        <v>1.3655600000000001</v>
      </c>
      <c r="F47" s="2">
        <v>-12.5</v>
      </c>
      <c r="G47" s="2">
        <v>9.6333333333333329</v>
      </c>
      <c r="H47" s="2">
        <v>2.8725800000000001</v>
      </c>
      <c r="I47" s="8">
        <v>-532.14400000000001</v>
      </c>
      <c r="J47">
        <v>1.9791925000000001</v>
      </c>
      <c r="K47">
        <v>2.0681111000000003</v>
      </c>
      <c r="L47">
        <f t="shared" si="0"/>
        <v>-8.8918600000000181E-2</v>
      </c>
      <c r="M47">
        <v>-0.79148181625927094</v>
      </c>
      <c r="N47">
        <v>6.0580778636694186</v>
      </c>
      <c r="O47">
        <f t="shared" si="5"/>
        <v>3.4989812869775547</v>
      </c>
      <c r="P47">
        <v>1.85843</v>
      </c>
      <c r="Q47">
        <f t="shared" si="6"/>
        <v>-1.0279302995503354</v>
      </c>
      <c r="R47">
        <f t="shared" si="1"/>
        <v>0</v>
      </c>
      <c r="S47">
        <f t="shared" si="2"/>
        <v>0</v>
      </c>
      <c r="T47">
        <f t="shared" si="3"/>
        <v>1</v>
      </c>
      <c r="U47">
        <f t="shared" si="4"/>
        <v>0</v>
      </c>
      <c r="V47" s="9">
        <v>-7</v>
      </c>
    </row>
    <row r="48" spans="1:22" x14ac:dyDescent="0.15">
      <c r="A48" s="1">
        <v>40087</v>
      </c>
      <c r="B48" s="2">
        <v>0.51148000000000005</v>
      </c>
      <c r="C48" s="2">
        <v>1.2844199999999999</v>
      </c>
      <c r="D48" s="2">
        <v>9.2509999999999995E-2</v>
      </c>
      <c r="E48" s="2">
        <v>0.66</v>
      </c>
      <c r="F48" s="2">
        <v>78.571430000000007</v>
      </c>
      <c r="G48" s="2">
        <v>9.9333333333333336</v>
      </c>
      <c r="H48" s="2">
        <v>2.5158999999999998</v>
      </c>
      <c r="I48" s="8">
        <v>-40.256</v>
      </c>
      <c r="J48">
        <v>1.7406668999999999</v>
      </c>
      <c r="K48">
        <v>1.9619755333333333</v>
      </c>
      <c r="L48">
        <f t="shared" si="0"/>
        <v>-0.22130863333333339</v>
      </c>
      <c r="M48">
        <v>-0.63786523688019792</v>
      </c>
      <c r="N48">
        <v>6.2393210166659117</v>
      </c>
      <c r="O48">
        <f t="shared" si="5"/>
        <v>2.8710731423214177</v>
      </c>
      <c r="P48">
        <v>17.505389999999998</v>
      </c>
      <c r="Q48">
        <f t="shared" si="6"/>
        <v>0.41847085832323316</v>
      </c>
      <c r="R48">
        <f t="shared" si="1"/>
        <v>0</v>
      </c>
      <c r="S48">
        <f t="shared" si="2"/>
        <v>0</v>
      </c>
      <c r="T48">
        <f t="shared" si="3"/>
        <v>0</v>
      </c>
      <c r="U48">
        <f t="shared" si="4"/>
        <v>1</v>
      </c>
      <c r="V48" s="9">
        <v>-7.4</v>
      </c>
    </row>
    <row r="49" spans="1:22" x14ac:dyDescent="0.15">
      <c r="A49" s="1">
        <v>40179</v>
      </c>
      <c r="B49" s="2">
        <v>1.495E-2</v>
      </c>
      <c r="C49" s="2">
        <v>0.34544000000000002</v>
      </c>
      <c r="D49" s="2">
        <v>0.65232999999999997</v>
      </c>
      <c r="E49" s="2">
        <v>0.96784999999999999</v>
      </c>
      <c r="F49" s="2">
        <v>-44</v>
      </c>
      <c r="G49" s="2">
        <v>9.8333333333333339</v>
      </c>
      <c r="H49" s="2">
        <v>1.9417500000000001</v>
      </c>
      <c r="I49" s="8">
        <v>231.477</v>
      </c>
      <c r="J49">
        <v>1.7991717333333335</v>
      </c>
      <c r="K49">
        <v>2.0381484333333333</v>
      </c>
      <c r="L49">
        <f t="shared" si="0"/>
        <v>-0.23897669999999982</v>
      </c>
      <c r="M49">
        <v>-5.4552690094551069E-2</v>
      </c>
      <c r="N49">
        <v>5.9575516768228445</v>
      </c>
      <c r="O49">
        <f t="shared" si="5"/>
        <v>0.83953636445664781</v>
      </c>
      <c r="P49">
        <v>8.6706699999999994</v>
      </c>
      <c r="Q49">
        <f t="shared" si="6"/>
        <v>0.16087572713134629</v>
      </c>
      <c r="R49">
        <f t="shared" si="1"/>
        <v>1</v>
      </c>
      <c r="S49">
        <f t="shared" si="2"/>
        <v>0</v>
      </c>
      <c r="T49">
        <f t="shared" si="3"/>
        <v>0</v>
      </c>
      <c r="U49">
        <f t="shared" si="4"/>
        <v>0</v>
      </c>
      <c r="V49" s="9">
        <v>-2.1</v>
      </c>
    </row>
    <row r="50" spans="1:22" x14ac:dyDescent="0.15">
      <c r="A50" s="1">
        <v>40269</v>
      </c>
      <c r="B50" s="2">
        <v>0.1255</v>
      </c>
      <c r="C50" s="2">
        <v>0.28961999999999999</v>
      </c>
      <c r="D50" s="2">
        <v>0.17147000000000001</v>
      </c>
      <c r="E50" s="2">
        <v>1.0522800000000001</v>
      </c>
      <c r="F50" s="2">
        <v>-21.428570000000001</v>
      </c>
      <c r="G50" s="2">
        <v>9.6333333333333329</v>
      </c>
      <c r="H50" s="2">
        <v>0.42327999999999999</v>
      </c>
      <c r="I50" s="8">
        <v>481.66</v>
      </c>
      <c r="J50">
        <v>1.5011275999999998</v>
      </c>
      <c r="K50">
        <v>1.9892216333333335</v>
      </c>
      <c r="L50">
        <f t="shared" si="0"/>
        <v>-0.48809403333333368</v>
      </c>
      <c r="M50">
        <v>0.20327467842443825</v>
      </c>
      <c r="N50">
        <v>4.8008727966164608</v>
      </c>
      <c r="O50">
        <f t="shared" si="5"/>
        <v>-0.77033232180229128</v>
      </c>
      <c r="P50">
        <v>-3.11029</v>
      </c>
      <c r="Q50">
        <f t="shared" si="6"/>
        <v>-1.3856641765631533E-2</v>
      </c>
      <c r="R50">
        <f t="shared" si="1"/>
        <v>0</v>
      </c>
      <c r="S50">
        <f t="shared" si="2"/>
        <v>1</v>
      </c>
      <c r="T50">
        <f t="shared" si="3"/>
        <v>0</v>
      </c>
      <c r="U50">
        <f t="shared" si="4"/>
        <v>0</v>
      </c>
      <c r="V50" s="9">
        <v>-5.8</v>
      </c>
    </row>
    <row r="51" spans="1:22" x14ac:dyDescent="0.15">
      <c r="A51" s="1">
        <v>40360</v>
      </c>
      <c r="B51" s="2">
        <v>0.24209</v>
      </c>
      <c r="C51" s="2">
        <v>-5.0000000000000001E-3</v>
      </c>
      <c r="D51" s="2">
        <v>0.15476000000000001</v>
      </c>
      <c r="E51" s="2">
        <v>0.90744999999999998</v>
      </c>
      <c r="F51" s="2">
        <v>-45.454549999999998</v>
      </c>
      <c r="G51" s="2">
        <v>9.4666666666666668</v>
      </c>
      <c r="H51" s="2">
        <v>-0.79030999999999996</v>
      </c>
      <c r="I51" s="8">
        <v>575.36800000000005</v>
      </c>
      <c r="J51">
        <v>1.0703518833333334</v>
      </c>
      <c r="K51">
        <v>1.6733046666666667</v>
      </c>
      <c r="L51">
        <f t="shared" si="0"/>
        <v>-0.60295278333333324</v>
      </c>
      <c r="M51">
        <v>0.21089491590397133</v>
      </c>
      <c r="N51">
        <v>4.7325523127755664</v>
      </c>
      <c r="O51">
        <f t="shared" si="5"/>
        <v>-1.3255255508938522</v>
      </c>
      <c r="P51">
        <v>-3.66289</v>
      </c>
      <c r="Q51">
        <f t="shared" si="6"/>
        <v>1.0023767321632422</v>
      </c>
      <c r="R51">
        <f t="shared" si="1"/>
        <v>0</v>
      </c>
      <c r="S51">
        <f t="shared" si="2"/>
        <v>0</v>
      </c>
      <c r="T51">
        <f t="shared" si="3"/>
        <v>1</v>
      </c>
      <c r="U51">
        <f t="shared" si="4"/>
        <v>0</v>
      </c>
      <c r="V51" s="9">
        <v>-6.1</v>
      </c>
    </row>
    <row r="52" spans="1:22" x14ac:dyDescent="0.15">
      <c r="A52" s="1">
        <v>40452</v>
      </c>
      <c r="B52" s="2">
        <v>0.26167000000000001</v>
      </c>
      <c r="C52" s="2">
        <v>-0.66879999999999995</v>
      </c>
      <c r="D52" s="2">
        <v>0.50863000000000003</v>
      </c>
      <c r="E52" s="2">
        <v>1.2578400000000001</v>
      </c>
      <c r="F52" s="2">
        <v>116.66667</v>
      </c>
      <c r="G52" s="2">
        <v>9.5</v>
      </c>
      <c r="H52" s="2">
        <v>2.8412099999999998</v>
      </c>
      <c r="I52" s="8">
        <v>566.13900000000001</v>
      </c>
      <c r="J52">
        <v>1.4184570333333333</v>
      </c>
      <c r="K52">
        <v>1.6049399333333336</v>
      </c>
      <c r="L52">
        <f t="shared" si="0"/>
        <v>-0.18648290000000034</v>
      </c>
      <c r="M52">
        <v>0.59824038134667046</v>
      </c>
      <c r="N52">
        <v>4.7124661810717363</v>
      </c>
      <c r="O52">
        <f t="shared" si="5"/>
        <v>-1.5268548355941753</v>
      </c>
      <c r="P52">
        <v>0.32530999999999999</v>
      </c>
      <c r="Q52">
        <f t="shared" si="6"/>
        <v>1.2361056182268684</v>
      </c>
      <c r="R52">
        <f t="shared" si="1"/>
        <v>0</v>
      </c>
      <c r="S52">
        <f t="shared" si="2"/>
        <v>0</v>
      </c>
      <c r="T52">
        <f t="shared" si="3"/>
        <v>0</v>
      </c>
      <c r="U52">
        <f t="shared" si="4"/>
        <v>1</v>
      </c>
      <c r="V52" s="9">
        <v>-1.2</v>
      </c>
    </row>
    <row r="53" spans="1:22" x14ac:dyDescent="0.15">
      <c r="A53" s="1">
        <v>40544</v>
      </c>
      <c r="B53" s="2">
        <v>0.47244000000000003</v>
      </c>
      <c r="C53" s="2">
        <v>0.15292</v>
      </c>
      <c r="D53" s="2">
        <v>1.4923500000000001</v>
      </c>
      <c r="E53" s="2">
        <v>1.2259100000000001</v>
      </c>
      <c r="F53" s="2">
        <v>38.461539999999999</v>
      </c>
      <c r="G53" s="2">
        <v>9.0333333333333332</v>
      </c>
      <c r="H53" s="2">
        <v>5.2414100000000001</v>
      </c>
      <c r="I53" s="8">
        <v>448.11399999999998</v>
      </c>
      <c r="J53">
        <v>1.9503891999999998</v>
      </c>
      <c r="K53">
        <v>2.0018306333333333</v>
      </c>
      <c r="L53">
        <f t="shared" si="0"/>
        <v>-5.1441433333333508E-2</v>
      </c>
      <c r="M53">
        <v>0.61927603504567375</v>
      </c>
      <c r="N53">
        <v>4.6262056054864837</v>
      </c>
      <c r="O53">
        <f t="shared" si="5"/>
        <v>-1.3313460713363607</v>
      </c>
      <c r="P53">
        <v>3.2996600000000003</v>
      </c>
      <c r="Q53">
        <f t="shared" si="6"/>
        <v>0.67382872514022485</v>
      </c>
      <c r="R53">
        <f t="shared" si="1"/>
        <v>1</v>
      </c>
      <c r="S53">
        <f t="shared" si="2"/>
        <v>0</v>
      </c>
      <c r="T53">
        <f t="shared" si="3"/>
        <v>0</v>
      </c>
      <c r="U53">
        <f t="shared" si="4"/>
        <v>0</v>
      </c>
      <c r="V53" s="9">
        <v>1.2</v>
      </c>
    </row>
    <row r="54" spans="1:22" x14ac:dyDescent="0.15">
      <c r="A54" s="1">
        <v>40634</v>
      </c>
      <c r="B54" s="2">
        <v>0.46738000000000002</v>
      </c>
      <c r="C54" s="2">
        <v>1.2466200000000001</v>
      </c>
      <c r="D54" s="2">
        <v>1.2536099999999999</v>
      </c>
      <c r="E54" s="2">
        <v>1.08762</v>
      </c>
      <c r="F54" s="2">
        <v>33.333329999999997</v>
      </c>
      <c r="G54" s="2">
        <v>9.0666666666666664</v>
      </c>
      <c r="H54" s="2">
        <v>5.0539699999999996</v>
      </c>
      <c r="I54" s="8">
        <v>468.29500000000002</v>
      </c>
      <c r="J54">
        <v>2.1619145666666664</v>
      </c>
      <c r="K54">
        <v>2.0085433333333338</v>
      </c>
      <c r="L54">
        <f t="shared" si="0"/>
        <v>0.15337123333333258</v>
      </c>
      <c r="M54">
        <v>0.87537791603507609</v>
      </c>
      <c r="N54">
        <v>4.0427817046021302</v>
      </c>
      <c r="O54">
        <f t="shared" si="5"/>
        <v>-0.75809109201433067</v>
      </c>
      <c r="P54">
        <v>4.6306899999999995</v>
      </c>
      <c r="Q54">
        <f t="shared" si="6"/>
        <v>0.67210323761063784</v>
      </c>
      <c r="R54">
        <f t="shared" si="1"/>
        <v>0</v>
      </c>
      <c r="S54">
        <f t="shared" si="2"/>
        <v>1</v>
      </c>
      <c r="T54">
        <f t="shared" si="3"/>
        <v>0</v>
      </c>
      <c r="U54">
        <f t="shared" si="4"/>
        <v>0</v>
      </c>
      <c r="V54" s="9">
        <v>-0.5</v>
      </c>
    </row>
    <row r="55" spans="1:22" x14ac:dyDescent="0.15">
      <c r="A55" s="1">
        <v>40725</v>
      </c>
      <c r="B55" s="2">
        <v>0.68376999999999999</v>
      </c>
      <c r="C55" s="2">
        <v>0.58216999999999997</v>
      </c>
      <c r="D55" s="2">
        <v>1.1693100000000001</v>
      </c>
      <c r="E55" s="2">
        <v>0.76829000000000003</v>
      </c>
      <c r="F55" s="2">
        <v>-25</v>
      </c>
      <c r="G55" s="2">
        <v>9</v>
      </c>
      <c r="H55" s="2">
        <v>-0.51378000000000001</v>
      </c>
      <c r="I55" s="8">
        <v>400.43700000000001</v>
      </c>
      <c r="J55">
        <v>1.6508462666666668</v>
      </c>
      <c r="K55">
        <v>1.7595493666666666</v>
      </c>
      <c r="L55">
        <f t="shared" si="0"/>
        <v>-0.10870309999999983</v>
      </c>
      <c r="M55">
        <v>-0.13224249242508054</v>
      </c>
      <c r="N55">
        <v>3.8065216686659458</v>
      </c>
      <c r="O55">
        <f t="shared" si="5"/>
        <v>-0.92603064410962066</v>
      </c>
      <c r="P55">
        <v>0.27652999999999994</v>
      </c>
      <c r="Q55">
        <f t="shared" si="6"/>
        <v>-0.34313740832905187</v>
      </c>
      <c r="R55">
        <f t="shared" si="1"/>
        <v>0</v>
      </c>
      <c r="S55">
        <f t="shared" si="2"/>
        <v>0</v>
      </c>
      <c r="T55">
        <f t="shared" si="3"/>
        <v>1</v>
      </c>
      <c r="U55">
        <f t="shared" si="4"/>
        <v>0</v>
      </c>
      <c r="V55" s="9">
        <v>0.9</v>
      </c>
    </row>
    <row r="56" spans="1:22" x14ac:dyDescent="0.15">
      <c r="A56" s="1">
        <v>40817</v>
      </c>
      <c r="B56" s="2">
        <v>0.53337000000000001</v>
      </c>
      <c r="C56" s="2">
        <v>-0.62168999999999996</v>
      </c>
      <c r="D56" s="2">
        <v>0.67762</v>
      </c>
      <c r="E56" s="2">
        <v>0.50333000000000006</v>
      </c>
      <c r="F56" s="2">
        <v>-22.22222</v>
      </c>
      <c r="G56" s="2">
        <v>8.6333333333333329</v>
      </c>
      <c r="H56" s="2">
        <v>-9.3899999999999997E-2</v>
      </c>
      <c r="I56" s="8">
        <v>454.84</v>
      </c>
      <c r="J56">
        <v>1.5608402666666665</v>
      </c>
      <c r="K56">
        <v>1.6130442666666664</v>
      </c>
      <c r="L56">
        <f t="shared" si="0"/>
        <v>-5.2203999999999917E-2</v>
      </c>
      <c r="M56">
        <v>-0.101827402746138</v>
      </c>
      <c r="N56">
        <v>3.6767810872764914</v>
      </c>
      <c r="O56">
        <f t="shared" si="5"/>
        <v>-1.0356850937952449</v>
      </c>
      <c r="P56">
        <v>-2.9351099999999999</v>
      </c>
      <c r="Q56">
        <f t="shared" si="6"/>
        <v>-0.70006778409280845</v>
      </c>
      <c r="R56">
        <f t="shared" si="1"/>
        <v>0</v>
      </c>
      <c r="S56">
        <f t="shared" si="2"/>
        <v>0</v>
      </c>
      <c r="T56">
        <f t="shared" si="3"/>
        <v>0</v>
      </c>
      <c r="U56">
        <f t="shared" si="4"/>
        <v>1</v>
      </c>
      <c r="V56" s="9">
        <v>-2.9</v>
      </c>
    </row>
    <row r="57" spans="1:22" x14ac:dyDescent="0.15">
      <c r="A57" s="1">
        <v>40909</v>
      </c>
      <c r="B57" s="2">
        <v>0.52569999999999995</v>
      </c>
      <c r="C57" s="2">
        <v>-1.9661299999999999</v>
      </c>
      <c r="D57" s="2">
        <v>0.69772999999999996</v>
      </c>
      <c r="E57" s="2">
        <v>1.3889400000000001</v>
      </c>
      <c r="F57" s="2">
        <v>78.571430000000007</v>
      </c>
      <c r="G57" s="2">
        <v>8.2666666666666675</v>
      </c>
      <c r="H57" s="2">
        <v>0.70489000000000002</v>
      </c>
      <c r="I57" s="8">
        <v>659.95799999999997</v>
      </c>
      <c r="J57">
        <v>1.4449727000000001</v>
      </c>
      <c r="K57">
        <v>1.575736033333333</v>
      </c>
      <c r="L57">
        <f t="shared" si="0"/>
        <v>-0.1307633333333329</v>
      </c>
      <c r="M57">
        <v>-8.3778908520681181E-3</v>
      </c>
      <c r="N57">
        <v>3.5441307115778344</v>
      </c>
      <c r="O57">
        <f t="shared" si="5"/>
        <v>-1.0820748939086493</v>
      </c>
      <c r="P57">
        <v>-4.5365200000000003</v>
      </c>
      <c r="Q57">
        <f t="shared" si="6"/>
        <v>-0.62765392589774183</v>
      </c>
      <c r="R57">
        <f t="shared" si="1"/>
        <v>1</v>
      </c>
      <c r="S57">
        <f t="shared" si="2"/>
        <v>0</v>
      </c>
      <c r="T57">
        <f t="shared" si="3"/>
        <v>0</v>
      </c>
      <c r="U57">
        <f t="shared" si="4"/>
        <v>0</v>
      </c>
      <c r="V57" s="9">
        <v>-3.1</v>
      </c>
    </row>
    <row r="58" spans="1:22" x14ac:dyDescent="0.15">
      <c r="A58" s="1">
        <v>41000</v>
      </c>
      <c r="B58" s="2">
        <v>0.49138999999999999</v>
      </c>
      <c r="C58" s="2">
        <v>-1.1808700000000001</v>
      </c>
      <c r="D58" s="2">
        <v>0.31407000000000002</v>
      </c>
      <c r="E58" s="2">
        <v>0.4173</v>
      </c>
      <c r="F58" s="2">
        <v>-32</v>
      </c>
      <c r="G58" s="2">
        <v>8.1999999999999993</v>
      </c>
      <c r="H58" s="2">
        <v>-0.88661000000000001</v>
      </c>
      <c r="I58" s="8">
        <v>603.21500000000003</v>
      </c>
      <c r="J58">
        <v>1.3555188233333333</v>
      </c>
      <c r="K58">
        <v>1.5402332333333333</v>
      </c>
      <c r="L58">
        <f t="shared" si="0"/>
        <v>-0.18471441</v>
      </c>
      <c r="M58">
        <v>-0.56849315889515151</v>
      </c>
      <c r="N58">
        <v>3.1529139006885778</v>
      </c>
      <c r="O58">
        <f t="shared" si="5"/>
        <v>-0.88986780391355236</v>
      </c>
      <c r="P58">
        <v>-5.9405799999999997</v>
      </c>
      <c r="Q58">
        <f t="shared" si="6"/>
        <v>-1.4438710749302275</v>
      </c>
      <c r="R58">
        <f t="shared" si="1"/>
        <v>0</v>
      </c>
      <c r="S58">
        <f t="shared" si="2"/>
        <v>1</v>
      </c>
      <c r="T58">
        <f t="shared" si="3"/>
        <v>0</v>
      </c>
      <c r="U58">
        <f t="shared" si="4"/>
        <v>0</v>
      </c>
      <c r="V58" s="9">
        <v>-1.2</v>
      </c>
    </row>
    <row r="59" spans="1:22" x14ac:dyDescent="0.15">
      <c r="A59" s="1">
        <v>41091</v>
      </c>
      <c r="B59" s="2">
        <v>0.45219999999999999</v>
      </c>
      <c r="C59" s="2">
        <v>-5.2499999999999998E-2</v>
      </c>
      <c r="D59" s="2">
        <v>0.27822999999999998</v>
      </c>
      <c r="E59" s="2">
        <v>0.49370999999999998</v>
      </c>
      <c r="F59" s="2">
        <v>-29.411760000000001</v>
      </c>
      <c r="G59" s="2">
        <v>8.0333333333333332</v>
      </c>
      <c r="H59" s="2">
        <v>-1.62429</v>
      </c>
      <c r="I59" s="8">
        <v>624.34699999999998</v>
      </c>
      <c r="J59">
        <v>1.5327489000000001</v>
      </c>
      <c r="K59">
        <v>1.4983123666666667</v>
      </c>
      <c r="L59">
        <f t="shared" si="0"/>
        <v>3.4436533333333408E-2</v>
      </c>
      <c r="M59">
        <v>-0.35938779315060021</v>
      </c>
      <c r="N59">
        <v>3.2114196950321059</v>
      </c>
      <c r="O59">
        <f t="shared" si="5"/>
        <v>-0.59510197363383988</v>
      </c>
      <c r="P59">
        <v>-1.1105100000000001</v>
      </c>
      <c r="Q59">
        <f t="shared" si="6"/>
        <v>-0.22714530072551967</v>
      </c>
      <c r="R59">
        <f t="shared" si="1"/>
        <v>0</v>
      </c>
      <c r="S59">
        <f t="shared" si="2"/>
        <v>0</v>
      </c>
      <c r="T59">
        <f t="shared" si="3"/>
        <v>1</v>
      </c>
      <c r="U59">
        <f t="shared" si="4"/>
        <v>0</v>
      </c>
      <c r="V59" s="9">
        <v>0.9</v>
      </c>
    </row>
    <row r="60" spans="1:22" x14ac:dyDescent="0.15">
      <c r="A60" s="1">
        <v>41183</v>
      </c>
      <c r="B60" s="2">
        <v>0.46565000000000001</v>
      </c>
      <c r="C60" s="2">
        <v>1.3045599999999999</v>
      </c>
      <c r="D60" s="2">
        <v>0.43869000000000002</v>
      </c>
      <c r="E60" s="2">
        <v>0.96118000000000003</v>
      </c>
      <c r="F60" s="2">
        <v>50</v>
      </c>
      <c r="G60" s="2">
        <v>7.8</v>
      </c>
      <c r="H60" s="2">
        <v>0.69394999999999996</v>
      </c>
      <c r="I60" s="8">
        <v>488.351</v>
      </c>
      <c r="J60">
        <v>1.7930800333333334</v>
      </c>
      <c r="K60">
        <v>1.5156210333333331</v>
      </c>
      <c r="L60">
        <f t="shared" si="0"/>
        <v>0.27745900000000034</v>
      </c>
      <c r="M60">
        <v>-0.16298123726277972</v>
      </c>
      <c r="N60">
        <v>3.1712001745836425</v>
      </c>
      <c r="O60">
        <f t="shared" si="5"/>
        <v>-0.50558091269284899</v>
      </c>
      <c r="P60">
        <v>0.78784999999999994</v>
      </c>
      <c r="Q60">
        <f t="shared" si="6"/>
        <v>-6.115383451664172E-2</v>
      </c>
      <c r="R60">
        <f t="shared" si="1"/>
        <v>0</v>
      </c>
      <c r="S60">
        <f t="shared" si="2"/>
        <v>0</v>
      </c>
      <c r="T60">
        <f t="shared" si="3"/>
        <v>0</v>
      </c>
      <c r="U60">
        <f t="shared" si="4"/>
        <v>1</v>
      </c>
      <c r="V60" s="9">
        <v>0.5</v>
      </c>
    </row>
    <row r="61" spans="1:22" x14ac:dyDescent="0.15">
      <c r="A61" s="1">
        <v>41275</v>
      </c>
      <c r="B61" s="2">
        <v>0.50614000000000003</v>
      </c>
      <c r="C61" s="2">
        <v>0.68927000000000005</v>
      </c>
      <c r="D61" s="2">
        <v>0.5403</v>
      </c>
      <c r="E61" s="2">
        <v>1.0030699999999999</v>
      </c>
      <c r="F61" s="2">
        <v>-11.11111</v>
      </c>
      <c r="G61" s="2">
        <v>7.7333333333333334</v>
      </c>
      <c r="H61" s="2">
        <v>0.42775999999999997</v>
      </c>
      <c r="I61" s="8">
        <v>453.02699999999999</v>
      </c>
      <c r="J61">
        <v>1.2271109</v>
      </c>
      <c r="K61">
        <v>1.4797120999999998</v>
      </c>
      <c r="L61">
        <f t="shared" si="0"/>
        <v>-0.25260119999999975</v>
      </c>
      <c r="M61">
        <v>-0.32078447067710575</v>
      </c>
      <c r="N61">
        <v>3.2008924028161716</v>
      </c>
      <c r="O61">
        <f t="shared" si="5"/>
        <v>-0.34323830876166284</v>
      </c>
      <c r="P61">
        <v>-0.27713000000000004</v>
      </c>
      <c r="Q61">
        <f t="shared" si="6"/>
        <v>-0.31240657982503761</v>
      </c>
      <c r="R61">
        <f t="shared" si="1"/>
        <v>1</v>
      </c>
      <c r="S61">
        <f t="shared" si="2"/>
        <v>0</v>
      </c>
      <c r="T61">
        <f t="shared" si="3"/>
        <v>0</v>
      </c>
      <c r="U61">
        <f t="shared" si="4"/>
        <v>0</v>
      </c>
      <c r="V61" s="9">
        <v>0.1</v>
      </c>
    </row>
    <row r="62" spans="1:22" x14ac:dyDescent="0.15">
      <c r="A62" s="1">
        <v>41365</v>
      </c>
      <c r="B62" s="2">
        <v>0.22735</v>
      </c>
      <c r="C62" s="2">
        <v>1.72977</v>
      </c>
      <c r="D62" s="2">
        <v>0.16714000000000001</v>
      </c>
      <c r="E62" s="2">
        <v>0.33723999999999998</v>
      </c>
      <c r="F62" s="2">
        <v>-31.25</v>
      </c>
      <c r="G62" s="2">
        <v>7.5333333333333332</v>
      </c>
      <c r="H62" s="2">
        <v>-0.99385000000000001</v>
      </c>
      <c r="I62" s="8">
        <v>363.41300000000001</v>
      </c>
      <c r="J62">
        <v>1.3291835333333335</v>
      </c>
      <c r="K62">
        <v>1.4753455</v>
      </c>
      <c r="L62">
        <f t="shared" si="0"/>
        <v>-0.14616196666666648</v>
      </c>
      <c r="M62">
        <v>-0.73662759219132934</v>
      </c>
      <c r="N62">
        <v>2.7348786613478651</v>
      </c>
      <c r="O62">
        <f t="shared" si="5"/>
        <v>-0.41803523934071274</v>
      </c>
      <c r="P62">
        <v>-0.10724</v>
      </c>
      <c r="Q62">
        <f t="shared" si="6"/>
        <v>-0.16813443329617783</v>
      </c>
      <c r="R62">
        <f t="shared" si="1"/>
        <v>0</v>
      </c>
      <c r="S62">
        <f t="shared" si="2"/>
        <v>1</v>
      </c>
      <c r="T62">
        <f t="shared" si="3"/>
        <v>0</v>
      </c>
      <c r="U62">
        <f t="shared" si="4"/>
        <v>0</v>
      </c>
      <c r="V62" s="9">
        <v>-4.0999999999999996</v>
      </c>
    </row>
    <row r="63" spans="1:22" x14ac:dyDescent="0.15">
      <c r="A63" s="1">
        <v>41456</v>
      </c>
      <c r="B63" s="2">
        <v>0.53463000000000005</v>
      </c>
      <c r="C63" s="2">
        <v>-4.3290000000000002E-2</v>
      </c>
      <c r="D63" s="2">
        <v>0.24923999999999999</v>
      </c>
      <c r="E63" s="2">
        <v>0.81891999999999998</v>
      </c>
      <c r="F63" s="2">
        <v>45.454549999999998</v>
      </c>
      <c r="G63" s="2">
        <v>7.2333333333333334</v>
      </c>
      <c r="H63" s="2">
        <v>-7.17E-2</v>
      </c>
      <c r="I63" s="8">
        <v>471.23500000000001</v>
      </c>
      <c r="J63">
        <v>1.6676276333333333</v>
      </c>
      <c r="K63">
        <v>1.7538161000000001</v>
      </c>
      <c r="L63">
        <f t="shared" si="0"/>
        <v>-8.6188466666666796E-2</v>
      </c>
      <c r="M63">
        <v>-0.49405412152357026</v>
      </c>
      <c r="N63">
        <v>2.7587992630482159</v>
      </c>
      <c r="O63">
        <f t="shared" si="5"/>
        <v>-0.45262043198389001</v>
      </c>
      <c r="P63">
        <v>1.5525899999999999</v>
      </c>
      <c r="Q63">
        <f t="shared" si="6"/>
        <v>-0.13466632837297005</v>
      </c>
      <c r="R63">
        <f t="shared" si="1"/>
        <v>0</v>
      </c>
      <c r="S63">
        <f t="shared" si="2"/>
        <v>0</v>
      </c>
      <c r="T63">
        <f t="shared" si="3"/>
        <v>1</v>
      </c>
      <c r="U63">
        <f t="shared" si="4"/>
        <v>0</v>
      </c>
      <c r="V63" s="9">
        <v>-1.4</v>
      </c>
    </row>
    <row r="64" spans="1:22" x14ac:dyDescent="0.15">
      <c r="A64" s="1">
        <v>41548</v>
      </c>
      <c r="B64" s="2">
        <v>0.44429000000000002</v>
      </c>
      <c r="C64" s="2">
        <v>0.29210000000000003</v>
      </c>
      <c r="D64" s="2">
        <v>0.20394999999999999</v>
      </c>
      <c r="E64" s="2">
        <v>1.2523</v>
      </c>
      <c r="F64" s="2">
        <v>6.25</v>
      </c>
      <c r="G64" s="2">
        <v>6.9333333333333336</v>
      </c>
      <c r="H64" s="2">
        <v>-0.88495999999999997</v>
      </c>
      <c r="I64" s="8">
        <v>638.86800000000005</v>
      </c>
      <c r="J64">
        <v>1.6433769</v>
      </c>
      <c r="K64">
        <v>1.7420455999999997</v>
      </c>
      <c r="L64">
        <f t="shared" si="0"/>
        <v>-9.8668699999999721E-2</v>
      </c>
      <c r="M64">
        <v>-0.4558975350858539</v>
      </c>
      <c r="N64">
        <v>2.6337062227799457</v>
      </c>
      <c r="O64">
        <f t="shared" si="5"/>
        <v>-0.53749395180369675</v>
      </c>
      <c r="P64">
        <v>-1.57891</v>
      </c>
      <c r="Q64">
        <f t="shared" si="6"/>
        <v>-0.29291629782307416</v>
      </c>
      <c r="R64">
        <f t="shared" si="1"/>
        <v>0</v>
      </c>
      <c r="S64">
        <f t="shared" si="2"/>
        <v>0</v>
      </c>
      <c r="T64">
        <f t="shared" si="3"/>
        <v>0</v>
      </c>
      <c r="U64">
        <f t="shared" si="4"/>
        <v>1</v>
      </c>
      <c r="V64" s="9">
        <v>-0.5</v>
      </c>
    </row>
    <row r="65" spans="1:22" x14ac:dyDescent="0.15">
      <c r="A65" s="1">
        <v>41640</v>
      </c>
      <c r="B65" s="2">
        <v>0.38695000000000002</v>
      </c>
      <c r="C65" s="2">
        <v>3.3832599999999999</v>
      </c>
      <c r="D65" s="2">
        <v>0.77056000000000002</v>
      </c>
      <c r="E65" s="2">
        <v>0.82040000000000002</v>
      </c>
      <c r="F65" s="2">
        <v>-23.529409999999999</v>
      </c>
      <c r="G65" s="2">
        <v>6.666666666666667</v>
      </c>
      <c r="H65" s="2">
        <v>1.0135099999999999</v>
      </c>
      <c r="I65" s="8">
        <v>455.815</v>
      </c>
      <c r="J65">
        <v>1.4811783666666667</v>
      </c>
      <c r="K65">
        <v>1.7877615666666666</v>
      </c>
      <c r="L65">
        <f t="shared" si="0"/>
        <v>-0.30658319999999994</v>
      </c>
      <c r="M65">
        <v>-0.51719091946983164</v>
      </c>
      <c r="N65">
        <v>2.5713342090958977</v>
      </c>
      <c r="O65">
        <f t="shared" si="5"/>
        <v>-0.62955819372027388</v>
      </c>
      <c r="P65">
        <v>0.58574999999999999</v>
      </c>
      <c r="Q65">
        <f t="shared" si="6"/>
        <v>-0.1964064487927259</v>
      </c>
      <c r="R65">
        <f t="shared" si="1"/>
        <v>1</v>
      </c>
      <c r="S65">
        <f t="shared" si="2"/>
        <v>0</v>
      </c>
      <c r="T65">
        <f t="shared" si="3"/>
        <v>0</v>
      </c>
      <c r="U65">
        <f t="shared" si="4"/>
        <v>0</v>
      </c>
      <c r="V65" s="9">
        <v>0.9</v>
      </c>
    </row>
    <row r="66" spans="1:22" x14ac:dyDescent="0.15">
      <c r="A66" s="1">
        <v>41730</v>
      </c>
      <c r="B66" s="2">
        <v>0.51737</v>
      </c>
      <c r="C66" s="2">
        <v>0.73085</v>
      </c>
      <c r="D66" s="2">
        <v>0.99168000000000001</v>
      </c>
      <c r="E66" s="2">
        <v>1.4119299999999999</v>
      </c>
      <c r="F66" s="2">
        <v>38.461539999999999</v>
      </c>
      <c r="G66" s="2">
        <v>6.2</v>
      </c>
      <c r="H66" s="2">
        <v>0.40611999999999998</v>
      </c>
      <c r="I66" s="8">
        <v>694.40800000000002</v>
      </c>
      <c r="J66">
        <v>1.6493156000000002</v>
      </c>
      <c r="K66">
        <v>1.8579101</v>
      </c>
      <c r="L66">
        <f t="shared" si="0"/>
        <v>-0.20859449999999979</v>
      </c>
      <c r="M66">
        <v>-0.77839262984173885</v>
      </c>
      <c r="N66">
        <v>1.9274659722882281</v>
      </c>
      <c r="O66">
        <f t="shared" si="5"/>
        <v>-0.80741268905963692</v>
      </c>
      <c r="P66">
        <v>1.3999699999999999</v>
      </c>
      <c r="Q66">
        <f t="shared" si="6"/>
        <v>-4.1765037650409509E-2</v>
      </c>
      <c r="R66">
        <f t="shared" si="1"/>
        <v>0</v>
      </c>
      <c r="S66">
        <f t="shared" si="2"/>
        <v>1</v>
      </c>
      <c r="T66">
        <f t="shared" si="3"/>
        <v>0</v>
      </c>
      <c r="U66">
        <f t="shared" si="4"/>
        <v>0</v>
      </c>
      <c r="V66" s="9">
        <v>-2.2999999999999998</v>
      </c>
    </row>
    <row r="67" spans="1:22" x14ac:dyDescent="0.15">
      <c r="A67" s="1">
        <v>41821</v>
      </c>
      <c r="B67" s="2">
        <v>0.41378999999999999</v>
      </c>
      <c r="C67" s="2">
        <v>4.8999999999999998E-3</v>
      </c>
      <c r="D67" s="2">
        <v>0.75316000000000005</v>
      </c>
      <c r="E67" s="2">
        <v>1.26498</v>
      </c>
      <c r="F67" s="2">
        <v>-16.66667</v>
      </c>
      <c r="G67" s="2">
        <v>6.0666666666666664</v>
      </c>
      <c r="H67" s="2">
        <v>-0.78515000000000001</v>
      </c>
      <c r="I67" s="8">
        <v>769.41800000000001</v>
      </c>
      <c r="J67">
        <v>1.9270282333333333</v>
      </c>
      <c r="K67">
        <v>1.8915243666666663</v>
      </c>
      <c r="L67">
        <f t="shared" ref="L67:L104" si="7">J67-K67</f>
        <v>3.5503866666666939E-2</v>
      </c>
      <c r="M67">
        <v>-0.75557516878871933</v>
      </c>
      <c r="N67">
        <v>1.8666524770932937</v>
      </c>
      <c r="O67">
        <f t="shared" si="5"/>
        <v>-0.89214678595492214</v>
      </c>
      <c r="P67">
        <v>-0.71345000000000003</v>
      </c>
      <c r="Q67">
        <f t="shared" si="6"/>
        <v>-0.26152104726514908</v>
      </c>
      <c r="R67">
        <f t="shared" ref="R67:R104" si="8">IF(MONTH(A67) = 1, 1, 0)</f>
        <v>0</v>
      </c>
      <c r="S67">
        <f t="shared" ref="S67:S104" si="9">IF(MONTH(A67) = 4, 1, 0)</f>
        <v>0</v>
      </c>
      <c r="T67">
        <f t="shared" ref="T67:T104" si="10">IF(MONTH(A67) = 7, 1, 0)</f>
        <v>1</v>
      </c>
      <c r="U67">
        <f t="shared" ref="U67:U104" si="11">IF(MONTH(A67) = 10, 1, 0)</f>
        <v>0</v>
      </c>
      <c r="V67" s="9">
        <v>4</v>
      </c>
    </row>
    <row r="68" spans="1:22" x14ac:dyDescent="0.15">
      <c r="A68" s="1">
        <v>41913</v>
      </c>
      <c r="B68" s="2">
        <v>0.39796999999999999</v>
      </c>
      <c r="C68" s="2">
        <v>-0.80632000000000004</v>
      </c>
      <c r="D68" s="2">
        <v>0.66427000000000003</v>
      </c>
      <c r="E68" s="2">
        <v>1.0178499999999999</v>
      </c>
      <c r="F68" s="2">
        <v>-26.66667</v>
      </c>
      <c r="G68" s="2">
        <v>5.7</v>
      </c>
      <c r="H68" s="2">
        <v>-4.1726599999999996</v>
      </c>
      <c r="I68" s="8">
        <v>616.88400000000001</v>
      </c>
      <c r="J68">
        <v>1.7031663666666665</v>
      </c>
      <c r="K68">
        <v>1.8468636</v>
      </c>
      <c r="L68">
        <f t="shared" si="7"/>
        <v>-0.14369723333333351</v>
      </c>
      <c r="M68">
        <v>-0.65821593446671633</v>
      </c>
      <c r="N68">
        <v>1.8008434279941214</v>
      </c>
      <c r="O68">
        <f t="shared" si="5"/>
        <v>-0.83286279478582426</v>
      </c>
      <c r="P68">
        <v>-3.2876999999999996</v>
      </c>
      <c r="Q68">
        <f t="shared" si="6"/>
        <v>-0.20231839938086243</v>
      </c>
      <c r="R68">
        <f t="shared" si="8"/>
        <v>0</v>
      </c>
      <c r="S68">
        <f t="shared" si="9"/>
        <v>0</v>
      </c>
      <c r="T68">
        <f t="shared" si="10"/>
        <v>0</v>
      </c>
      <c r="U68">
        <f t="shared" si="11"/>
        <v>1</v>
      </c>
      <c r="V68" s="9">
        <v>7.7</v>
      </c>
    </row>
    <row r="69" spans="1:22" x14ac:dyDescent="0.15">
      <c r="A69" s="1">
        <v>42005</v>
      </c>
      <c r="B69" s="2">
        <v>0.34877000000000002</v>
      </c>
      <c r="C69" s="2">
        <v>-0.1055</v>
      </c>
      <c r="D69" s="2">
        <v>0.39778000000000002</v>
      </c>
      <c r="E69" s="2">
        <v>0.31646000000000002</v>
      </c>
      <c r="F69" s="2">
        <v>-36.363639999999997</v>
      </c>
      <c r="G69" s="2">
        <v>5.5333333333333332</v>
      </c>
      <c r="H69" s="2">
        <v>-5.7057099999999998</v>
      </c>
      <c r="I69" s="8">
        <v>773.95100000000002</v>
      </c>
      <c r="J69">
        <v>0.69927391333333322</v>
      </c>
      <c r="K69">
        <v>1.6439367666666667</v>
      </c>
      <c r="L69">
        <f t="shared" si="7"/>
        <v>-0.94466285333333344</v>
      </c>
      <c r="M69">
        <v>-0.40383747467208958</v>
      </c>
      <c r="N69">
        <v>1.7401862499405532</v>
      </c>
      <c r="O69">
        <f t="shared" si="5"/>
        <v>-0.83114795915534456</v>
      </c>
      <c r="P69">
        <v>-6.71922</v>
      </c>
      <c r="Q69">
        <f t="shared" si="6"/>
        <v>0.11335344479774206</v>
      </c>
      <c r="R69">
        <f t="shared" si="8"/>
        <v>1</v>
      </c>
      <c r="S69">
        <f t="shared" si="9"/>
        <v>0</v>
      </c>
      <c r="T69">
        <f t="shared" si="10"/>
        <v>0</v>
      </c>
      <c r="U69">
        <f t="shared" si="11"/>
        <v>0</v>
      </c>
      <c r="V69" s="9">
        <v>8.1</v>
      </c>
    </row>
    <row r="70" spans="1:22" x14ac:dyDescent="0.15">
      <c r="A70" s="1">
        <v>42095</v>
      </c>
      <c r="B70" s="2">
        <v>0.60494000000000003</v>
      </c>
      <c r="C70" s="2">
        <v>-1.60836</v>
      </c>
      <c r="D70" s="2">
        <v>-3.7199999999999997E-2</v>
      </c>
      <c r="E70" s="2">
        <v>1.19089</v>
      </c>
      <c r="F70" s="2">
        <v>157.14286000000001</v>
      </c>
      <c r="G70" s="2">
        <v>5.4333333333333336</v>
      </c>
      <c r="H70" s="2">
        <v>0.37154999999999999</v>
      </c>
      <c r="I70" s="8">
        <v>671.428</v>
      </c>
      <c r="J70">
        <v>1.6892917000000001</v>
      </c>
      <c r="K70">
        <v>1.7766959999999998</v>
      </c>
      <c r="L70">
        <f t="shared" si="7"/>
        <v>-8.7404299999999768E-2</v>
      </c>
      <c r="M70">
        <v>-0.5727750206981792</v>
      </c>
      <c r="N70">
        <v>1.4873351744150645</v>
      </c>
      <c r="O70">
        <f t="shared" si="5"/>
        <v>-0.44013079787316367</v>
      </c>
      <c r="P70">
        <v>-3.456999999999999E-2</v>
      </c>
      <c r="Q70">
        <f t="shared" si="6"/>
        <v>0.20561760914355964</v>
      </c>
      <c r="R70">
        <f t="shared" si="8"/>
        <v>0</v>
      </c>
      <c r="S70">
        <f t="shared" si="9"/>
        <v>1</v>
      </c>
      <c r="T70">
        <f t="shared" si="10"/>
        <v>0</v>
      </c>
      <c r="U70">
        <f t="shared" si="11"/>
        <v>0</v>
      </c>
      <c r="V70" s="9">
        <v>-2.8</v>
      </c>
    </row>
    <row r="71" spans="1:22" x14ac:dyDescent="0.15">
      <c r="A71" s="1">
        <v>42186</v>
      </c>
      <c r="B71" s="2">
        <v>0.49647999999999998</v>
      </c>
      <c r="C71" s="2">
        <v>-0.64502000000000004</v>
      </c>
      <c r="D71" s="2">
        <v>0.58431</v>
      </c>
      <c r="E71" s="2">
        <v>0.96514</v>
      </c>
      <c r="F71" s="2">
        <v>-27.77778</v>
      </c>
      <c r="G71" s="2">
        <v>5.0999999999999996</v>
      </c>
      <c r="H71" s="2">
        <v>-2.0359600000000002</v>
      </c>
      <c r="I71" s="8">
        <v>477.49</v>
      </c>
      <c r="J71">
        <v>1.8180931750496721</v>
      </c>
      <c r="K71">
        <v>1.8464430455590171</v>
      </c>
      <c r="L71">
        <f t="shared" si="7"/>
        <v>-2.834987050934501E-2</v>
      </c>
      <c r="M71">
        <v>-0.48557708305940839</v>
      </c>
      <c r="N71">
        <v>1.3990058120988333</v>
      </c>
      <c r="O71">
        <f t="shared" ref="O71:O104" si="12">N71-N67</f>
        <v>-0.46764666499446039</v>
      </c>
      <c r="P71">
        <v>-1.2508100000000002</v>
      </c>
      <c r="Q71">
        <f t="shared" ref="Q71:Q104" si="13">M71-M67</f>
        <v>0.26999808572931094</v>
      </c>
      <c r="R71">
        <f t="shared" si="8"/>
        <v>0</v>
      </c>
      <c r="S71">
        <f t="shared" si="9"/>
        <v>0</v>
      </c>
      <c r="T71">
        <f t="shared" si="10"/>
        <v>1</v>
      </c>
      <c r="U71">
        <f t="shared" si="11"/>
        <v>0</v>
      </c>
      <c r="V71" s="9">
        <v>-2.6</v>
      </c>
    </row>
    <row r="72" spans="1:22" x14ac:dyDescent="0.15">
      <c r="A72" s="1">
        <v>42278</v>
      </c>
      <c r="B72" s="2">
        <v>0.52944000000000002</v>
      </c>
      <c r="C72" s="2">
        <v>-1.0771200000000001</v>
      </c>
      <c r="D72" s="2">
        <v>0.26301000000000002</v>
      </c>
      <c r="E72" s="2">
        <v>0.33004</v>
      </c>
      <c r="F72" s="2">
        <v>-23.076920000000001</v>
      </c>
      <c r="G72" s="2">
        <v>5.0333333333333332</v>
      </c>
      <c r="H72" s="2">
        <v>-2.4021599999999999</v>
      </c>
      <c r="I72" s="8">
        <v>401.95</v>
      </c>
      <c r="J72">
        <v>1.362201515483719</v>
      </c>
      <c r="K72">
        <v>1.786084111279493</v>
      </c>
      <c r="L72">
        <f t="shared" si="7"/>
        <v>-0.42388259579577392</v>
      </c>
      <c r="M72">
        <v>-0.48596396779736267</v>
      </c>
      <c r="N72">
        <v>1.3765415599314743</v>
      </c>
      <c r="O72">
        <f t="shared" si="12"/>
        <v>-0.42430186806264714</v>
      </c>
      <c r="P72">
        <v>1.7704999999999997</v>
      </c>
      <c r="Q72">
        <f t="shared" si="13"/>
        <v>0.17225196666935366</v>
      </c>
      <c r="R72">
        <f t="shared" si="8"/>
        <v>0</v>
      </c>
      <c r="S72">
        <f t="shared" si="9"/>
        <v>0</v>
      </c>
      <c r="T72">
        <f t="shared" si="10"/>
        <v>0</v>
      </c>
      <c r="U72">
        <f t="shared" si="11"/>
        <v>1</v>
      </c>
      <c r="V72" s="9">
        <v>0.7</v>
      </c>
    </row>
    <row r="73" spans="1:22" x14ac:dyDescent="0.15">
      <c r="A73" s="1">
        <v>42370</v>
      </c>
      <c r="B73" s="2">
        <v>0.52173000000000003</v>
      </c>
      <c r="C73" s="2">
        <v>-1.1462699999999999</v>
      </c>
      <c r="D73" s="2">
        <v>1.9859999999999999E-2</v>
      </c>
      <c r="E73" s="2">
        <v>0.80332000000000003</v>
      </c>
      <c r="F73" s="2">
        <v>70</v>
      </c>
      <c r="G73" s="2">
        <v>4.9000000000000004</v>
      </c>
      <c r="H73" s="2">
        <v>-2.4612799999999999</v>
      </c>
      <c r="I73" s="8">
        <v>343.46899999999999</v>
      </c>
      <c r="J73">
        <v>1.124375711912907</v>
      </c>
      <c r="K73">
        <v>1.735501255915787</v>
      </c>
      <c r="L73">
        <f t="shared" si="7"/>
        <v>-0.61112554400287999</v>
      </c>
      <c r="M73">
        <v>-0.71711282850058733</v>
      </c>
      <c r="N73">
        <v>1.4102075244103949</v>
      </c>
      <c r="O73">
        <f t="shared" si="12"/>
        <v>-0.32997872553015828</v>
      </c>
      <c r="P73">
        <v>3.2444299999999999</v>
      </c>
      <c r="Q73">
        <f t="shared" si="13"/>
        <v>-0.31327535382849775</v>
      </c>
      <c r="R73">
        <f t="shared" si="8"/>
        <v>1</v>
      </c>
      <c r="S73">
        <f t="shared" si="9"/>
        <v>0</v>
      </c>
      <c r="T73">
        <f t="shared" si="10"/>
        <v>0</v>
      </c>
      <c r="U73">
        <f t="shared" si="11"/>
        <v>0</v>
      </c>
      <c r="V73" s="9">
        <v>0</v>
      </c>
    </row>
    <row r="74" spans="1:22" x14ac:dyDescent="0.15">
      <c r="A74" s="1">
        <v>42461</v>
      </c>
      <c r="B74" s="2">
        <v>0.65863000000000005</v>
      </c>
      <c r="C74" s="2">
        <v>0.38968000000000003</v>
      </c>
      <c r="D74" s="2">
        <v>-0.22189</v>
      </c>
      <c r="E74" s="2">
        <v>1.1336299999999999</v>
      </c>
      <c r="F74" s="2">
        <v>29.411760000000001</v>
      </c>
      <c r="G74" s="2">
        <v>4.9333333333333336</v>
      </c>
      <c r="H74" s="2">
        <v>1.81457</v>
      </c>
      <c r="I74" s="8">
        <v>314.495</v>
      </c>
      <c r="J74">
        <v>1.5436493923062724</v>
      </c>
      <c r="K74">
        <v>1.7295723307477404</v>
      </c>
      <c r="L74">
        <f t="shared" si="7"/>
        <v>-0.18592293844146801</v>
      </c>
      <c r="M74">
        <v>-0.42229202765672458</v>
      </c>
      <c r="N74">
        <v>1.2872256649533211</v>
      </c>
      <c r="O74">
        <f t="shared" si="12"/>
        <v>-0.20010950946174333</v>
      </c>
      <c r="P74">
        <v>1.44302</v>
      </c>
      <c r="Q74">
        <f t="shared" si="13"/>
        <v>0.15048299304145463</v>
      </c>
      <c r="R74">
        <f t="shared" si="8"/>
        <v>0</v>
      </c>
      <c r="S74">
        <f t="shared" si="9"/>
        <v>1</v>
      </c>
      <c r="T74">
        <f t="shared" si="10"/>
        <v>0</v>
      </c>
      <c r="U74">
        <f t="shared" si="11"/>
        <v>0</v>
      </c>
      <c r="V74" s="9">
        <v>-4.7</v>
      </c>
    </row>
    <row r="75" spans="1:22" x14ac:dyDescent="0.15">
      <c r="A75" s="1">
        <v>42552</v>
      </c>
      <c r="B75" s="2">
        <v>0.52156999999999998</v>
      </c>
      <c r="C75" s="2">
        <v>1.92058</v>
      </c>
      <c r="D75" s="2">
        <v>-7.5969999999999996E-2</v>
      </c>
      <c r="E75" s="2">
        <v>1.04223</v>
      </c>
      <c r="F75" s="2">
        <v>-22.727270000000001</v>
      </c>
      <c r="G75" s="2">
        <v>4.9000000000000004</v>
      </c>
      <c r="H75" s="2">
        <v>0.77973000000000003</v>
      </c>
      <c r="I75" s="8">
        <v>383.209</v>
      </c>
      <c r="J75">
        <v>1.767552734457895</v>
      </c>
      <c r="K75">
        <v>1.6685437516735249</v>
      </c>
      <c r="L75">
        <f t="shared" si="7"/>
        <v>9.9008982784370092E-2</v>
      </c>
      <c r="M75">
        <v>-0.12566349277314318</v>
      </c>
      <c r="N75">
        <v>1.3135598103488146</v>
      </c>
      <c r="O75">
        <f t="shared" si="12"/>
        <v>-8.5446001750018707E-2</v>
      </c>
      <c r="P75">
        <v>2.81569</v>
      </c>
      <c r="Q75">
        <f t="shared" si="13"/>
        <v>0.35991359028626524</v>
      </c>
      <c r="R75">
        <f t="shared" si="8"/>
        <v>0</v>
      </c>
      <c r="S75">
        <f t="shared" si="9"/>
        <v>0</v>
      </c>
      <c r="T75">
        <f t="shared" si="10"/>
        <v>1</v>
      </c>
      <c r="U75">
        <f t="shared" si="11"/>
        <v>0</v>
      </c>
      <c r="V75" s="9">
        <v>-1.9</v>
      </c>
    </row>
    <row r="76" spans="1:22" x14ac:dyDescent="0.15">
      <c r="A76" s="1">
        <v>42644</v>
      </c>
      <c r="B76" s="2">
        <v>0.46289000000000002</v>
      </c>
      <c r="C76" s="2">
        <v>0.43374000000000001</v>
      </c>
      <c r="D76" s="2">
        <v>-4.965E-2</v>
      </c>
      <c r="E76" s="2">
        <v>0.97548000000000001</v>
      </c>
      <c r="F76" s="2">
        <v>-17.64706</v>
      </c>
      <c r="G76" s="2">
        <v>4.7666666666666666</v>
      </c>
      <c r="H76" s="2">
        <v>0.55264000000000002</v>
      </c>
      <c r="I76" s="8">
        <v>549.77800000000002</v>
      </c>
      <c r="J76">
        <v>1.9793107991581811</v>
      </c>
      <c r="K76">
        <v>1.8055258282214226</v>
      </c>
      <c r="L76">
        <f t="shared" si="7"/>
        <v>0.17378497093675849</v>
      </c>
      <c r="M76">
        <v>-0.20471545104291825</v>
      </c>
      <c r="N76">
        <v>1.2931717924281598</v>
      </c>
      <c r="O76">
        <f t="shared" si="12"/>
        <v>-8.3369767503314485E-2</v>
      </c>
      <c r="P76">
        <v>2.9547999999999996</v>
      </c>
      <c r="Q76">
        <f t="shared" si="13"/>
        <v>0.2812485167544444</v>
      </c>
      <c r="R76">
        <f t="shared" si="8"/>
        <v>0</v>
      </c>
      <c r="S76">
        <f t="shared" si="9"/>
        <v>0</v>
      </c>
      <c r="T76">
        <f t="shared" si="10"/>
        <v>0</v>
      </c>
      <c r="U76">
        <f t="shared" si="11"/>
        <v>1</v>
      </c>
      <c r="V76" s="9">
        <v>1.2</v>
      </c>
    </row>
    <row r="77" spans="1:22" x14ac:dyDescent="0.15">
      <c r="A77" s="1">
        <v>42736</v>
      </c>
      <c r="B77" s="2">
        <v>0.51646999999999998</v>
      </c>
      <c r="C77" s="2">
        <v>0.52227000000000001</v>
      </c>
      <c r="D77" s="2">
        <v>0.45462000000000002</v>
      </c>
      <c r="E77" s="2">
        <v>1.3571200000000001</v>
      </c>
      <c r="F77" s="2">
        <v>35.714289999999998</v>
      </c>
      <c r="G77" s="2">
        <v>4.5666666666666664</v>
      </c>
      <c r="H77" s="2">
        <v>0.98928000000000005</v>
      </c>
      <c r="I77" s="8">
        <v>601.97799999999995</v>
      </c>
      <c r="J77">
        <v>1.8495512423843978</v>
      </c>
      <c r="K77">
        <v>1.9104383390941382</v>
      </c>
      <c r="L77">
        <f t="shared" si="7"/>
        <v>-6.0887096709740351E-2</v>
      </c>
      <c r="M77">
        <v>0.12543525494733862</v>
      </c>
      <c r="N77">
        <v>1.3778059701578951</v>
      </c>
      <c r="O77">
        <f t="shared" si="12"/>
        <v>-3.2401554252499798E-2</v>
      </c>
      <c r="P77">
        <v>3.4505599999999998</v>
      </c>
      <c r="Q77">
        <f t="shared" si="13"/>
        <v>0.84254808344792598</v>
      </c>
      <c r="R77">
        <f t="shared" si="8"/>
        <v>1</v>
      </c>
      <c r="S77">
        <f t="shared" si="9"/>
        <v>0</v>
      </c>
      <c r="T77">
        <f t="shared" si="10"/>
        <v>0</v>
      </c>
      <c r="U77">
        <f t="shared" si="11"/>
        <v>0</v>
      </c>
      <c r="V77" s="9">
        <v>-0.5</v>
      </c>
    </row>
    <row r="78" spans="1:22" x14ac:dyDescent="0.15">
      <c r="A78" s="1">
        <v>42826</v>
      </c>
      <c r="B78" s="2">
        <v>0.26501999999999998</v>
      </c>
      <c r="C78" s="2">
        <v>1.7086600000000001</v>
      </c>
      <c r="D78" s="2">
        <v>0.43018000000000001</v>
      </c>
      <c r="E78" s="2">
        <v>0.69811000000000001</v>
      </c>
      <c r="F78" s="2">
        <v>-31.578949999999999</v>
      </c>
      <c r="G78" s="2">
        <v>4.3666666666666671</v>
      </c>
      <c r="H78" s="2">
        <v>0.10884000000000001</v>
      </c>
      <c r="I78" s="8">
        <v>577.495</v>
      </c>
      <c r="J78">
        <v>1.4140545982278299</v>
      </c>
      <c r="K78">
        <v>1.8094428939617491</v>
      </c>
      <c r="L78">
        <f t="shared" si="7"/>
        <v>-0.3953882957339192</v>
      </c>
      <c r="M78">
        <v>-1.6456519681664058E-2</v>
      </c>
      <c r="N78">
        <v>1.092492214680705</v>
      </c>
      <c r="O78">
        <f t="shared" si="12"/>
        <v>-0.19473345027261613</v>
      </c>
      <c r="P78">
        <v>-1.70573</v>
      </c>
      <c r="Q78">
        <f t="shared" si="13"/>
        <v>0.40583550797506052</v>
      </c>
      <c r="R78">
        <f t="shared" si="8"/>
        <v>0</v>
      </c>
      <c r="S78">
        <f t="shared" si="9"/>
        <v>1</v>
      </c>
      <c r="T78">
        <f t="shared" si="10"/>
        <v>0</v>
      </c>
      <c r="U78">
        <f t="shared" si="11"/>
        <v>0</v>
      </c>
      <c r="V78" s="9">
        <v>-0.7</v>
      </c>
    </row>
    <row r="79" spans="1:22" x14ac:dyDescent="0.15">
      <c r="A79" s="1">
        <v>42917</v>
      </c>
      <c r="B79" s="2">
        <v>0.38824999999999998</v>
      </c>
      <c r="C79" s="2">
        <v>0.43701000000000001</v>
      </c>
      <c r="D79" s="2">
        <v>0.30584</v>
      </c>
      <c r="E79" s="2">
        <v>1.03346</v>
      </c>
      <c r="F79" s="2">
        <v>-7.69231</v>
      </c>
      <c r="G79" s="2">
        <v>4.333333333333333</v>
      </c>
      <c r="H79" s="2">
        <v>0.29898999999999998</v>
      </c>
      <c r="I79" s="8">
        <v>654.85199999999998</v>
      </c>
      <c r="J79">
        <v>1.8073800691484936</v>
      </c>
      <c r="K79">
        <v>1.836255130077137</v>
      </c>
      <c r="L79">
        <f t="shared" si="7"/>
        <v>-2.8875060928643448E-2</v>
      </c>
      <c r="M79">
        <v>0.33574292049911197</v>
      </c>
      <c r="N79">
        <v>1.0875236649584255</v>
      </c>
      <c r="O79">
        <f t="shared" si="12"/>
        <v>-0.22603614539038919</v>
      </c>
      <c r="P79">
        <v>-0.48074000000000006</v>
      </c>
      <c r="Q79">
        <f t="shared" si="13"/>
        <v>0.46140641327225518</v>
      </c>
      <c r="R79">
        <f t="shared" si="8"/>
        <v>0</v>
      </c>
      <c r="S79">
        <f t="shared" si="9"/>
        <v>0</v>
      </c>
      <c r="T79">
        <f t="shared" si="10"/>
        <v>1</v>
      </c>
      <c r="U79">
        <f t="shared" si="11"/>
        <v>0</v>
      </c>
      <c r="V79" s="9">
        <v>0.2</v>
      </c>
    </row>
    <row r="80" spans="1:22" x14ac:dyDescent="0.15">
      <c r="A80" s="1">
        <v>43009</v>
      </c>
      <c r="B80" s="2">
        <v>0.57491000000000003</v>
      </c>
      <c r="C80" s="2">
        <v>-0.19975000000000001</v>
      </c>
      <c r="D80" s="2">
        <v>0.23587</v>
      </c>
      <c r="E80" s="2">
        <v>1.69855</v>
      </c>
      <c r="F80" s="2">
        <v>50</v>
      </c>
      <c r="G80" s="2">
        <v>4.166666666666667</v>
      </c>
      <c r="H80" s="2">
        <v>1.5989199999999999</v>
      </c>
      <c r="I80" s="8">
        <v>768.61500000000001</v>
      </c>
      <c r="J80">
        <v>2.2819830373401242</v>
      </c>
      <c r="K80">
        <v>1.9430470835054832</v>
      </c>
      <c r="L80">
        <f t="shared" si="7"/>
        <v>0.33893595383464103</v>
      </c>
      <c r="M80">
        <v>0.74626402539091174</v>
      </c>
      <c r="N80">
        <v>1.0388520863527078</v>
      </c>
      <c r="O80">
        <f t="shared" si="12"/>
        <v>-0.25431970607545207</v>
      </c>
      <c r="P80">
        <v>1.0462799999999999</v>
      </c>
      <c r="Q80">
        <f t="shared" si="13"/>
        <v>0.95097947643382996</v>
      </c>
      <c r="R80">
        <f t="shared" si="8"/>
        <v>0</v>
      </c>
      <c r="S80">
        <f t="shared" si="9"/>
        <v>0</v>
      </c>
      <c r="T80">
        <f t="shared" si="10"/>
        <v>0</v>
      </c>
      <c r="U80">
        <f t="shared" si="11"/>
        <v>1</v>
      </c>
      <c r="V80" s="9">
        <v>-0.3</v>
      </c>
    </row>
    <row r="81" spans="1:22" x14ac:dyDescent="0.15">
      <c r="A81" s="1">
        <v>43101</v>
      </c>
      <c r="B81" s="2">
        <v>0.72208000000000006</v>
      </c>
      <c r="C81" s="2">
        <v>0.46298</v>
      </c>
      <c r="D81" s="2">
        <v>0.4677</v>
      </c>
      <c r="E81" s="2">
        <v>1.42913</v>
      </c>
      <c r="F81" s="2">
        <v>44.44444</v>
      </c>
      <c r="G81" s="2">
        <v>4.0333333333333332</v>
      </c>
      <c r="H81" s="2">
        <v>1.3070200000000001</v>
      </c>
      <c r="I81" s="8">
        <v>864.69899999999996</v>
      </c>
      <c r="J81">
        <v>1.9105596905322344</v>
      </c>
      <c r="K81">
        <v>1.9999974413975732</v>
      </c>
      <c r="L81">
        <f t="shared" si="7"/>
        <v>-8.9437750865338783E-2</v>
      </c>
      <c r="M81">
        <v>0.35442861847608303</v>
      </c>
      <c r="N81">
        <v>1.0716154281735095</v>
      </c>
      <c r="O81">
        <f t="shared" si="12"/>
        <v>-0.30619054198438556</v>
      </c>
      <c r="P81">
        <v>0.31774000000000002</v>
      </c>
      <c r="Q81">
        <f t="shared" si="13"/>
        <v>0.22899336352874441</v>
      </c>
      <c r="R81">
        <f t="shared" si="8"/>
        <v>1</v>
      </c>
      <c r="S81">
        <f t="shared" si="9"/>
        <v>0</v>
      </c>
      <c r="T81">
        <f t="shared" si="10"/>
        <v>0</v>
      </c>
      <c r="U81">
        <f t="shared" si="11"/>
        <v>0</v>
      </c>
      <c r="V81" s="9">
        <v>0.1</v>
      </c>
    </row>
    <row r="82" spans="1:22" x14ac:dyDescent="0.15">
      <c r="A82" s="1">
        <v>43191</v>
      </c>
      <c r="B82" s="2">
        <v>0.51981999999999995</v>
      </c>
      <c r="C82" s="2">
        <v>-0.27757999999999999</v>
      </c>
      <c r="D82" s="2">
        <v>0.33567000000000002</v>
      </c>
      <c r="E82" s="2">
        <v>1.06365</v>
      </c>
      <c r="F82" s="2">
        <v>-15.38462</v>
      </c>
      <c r="G82" s="2">
        <v>3.9333333333333331</v>
      </c>
      <c r="H82" s="2">
        <v>0.97419999999999995</v>
      </c>
      <c r="I82" s="8">
        <v>931.50300000000004</v>
      </c>
      <c r="J82">
        <v>1.8018564840747893</v>
      </c>
      <c r="K82">
        <v>2.0406281438800082</v>
      </c>
      <c r="L82">
        <f t="shared" si="7"/>
        <v>-0.23877165980521897</v>
      </c>
      <c r="M82">
        <v>0.4183023464136455</v>
      </c>
      <c r="N82">
        <v>0.85594528052056151</v>
      </c>
      <c r="O82">
        <f t="shared" si="12"/>
        <v>-0.2365469341601435</v>
      </c>
      <c r="P82">
        <v>0.86535999999999991</v>
      </c>
      <c r="Q82">
        <f t="shared" si="13"/>
        <v>0.43475886609530956</v>
      </c>
      <c r="R82">
        <f t="shared" si="8"/>
        <v>0</v>
      </c>
      <c r="S82">
        <f t="shared" si="9"/>
        <v>1</v>
      </c>
      <c r="T82">
        <f t="shared" si="10"/>
        <v>0</v>
      </c>
      <c r="U82">
        <f t="shared" si="11"/>
        <v>0</v>
      </c>
      <c r="V82" s="9">
        <v>-0.6</v>
      </c>
    </row>
    <row r="83" spans="1:22" x14ac:dyDescent="0.15">
      <c r="A83" s="1">
        <v>43282</v>
      </c>
      <c r="B83" s="2">
        <v>0.36101</v>
      </c>
      <c r="C83" s="2">
        <v>-0.70862999999999998</v>
      </c>
      <c r="D83" s="2">
        <v>0.35258</v>
      </c>
      <c r="E83" s="2">
        <v>0.79857999999999996</v>
      </c>
      <c r="F83" s="2">
        <v>-40.909089999999999</v>
      </c>
      <c r="G83" s="2">
        <v>3.7666666666666666</v>
      </c>
      <c r="H83" s="2">
        <v>-2.6079999999999999E-2</v>
      </c>
      <c r="I83" s="8">
        <v>881.38900000000001</v>
      </c>
      <c r="J83">
        <v>2.2205206710704206</v>
      </c>
      <c r="K83">
        <v>2.1240775757380619</v>
      </c>
      <c r="L83">
        <f t="shared" si="7"/>
        <v>9.644309533235873E-2</v>
      </c>
      <c r="M83">
        <v>0.45260588793696016</v>
      </c>
      <c r="N83">
        <v>0.83650415169967829</v>
      </c>
      <c r="O83">
        <f t="shared" si="12"/>
        <v>-0.25101951325874716</v>
      </c>
      <c r="P83">
        <v>-0.32506999999999997</v>
      </c>
      <c r="Q83">
        <f t="shared" si="13"/>
        <v>0.11686296743784819</v>
      </c>
      <c r="R83">
        <f t="shared" si="8"/>
        <v>0</v>
      </c>
      <c r="S83">
        <f t="shared" si="9"/>
        <v>0</v>
      </c>
      <c r="T83">
        <f t="shared" si="10"/>
        <v>1</v>
      </c>
      <c r="U83">
        <f t="shared" si="11"/>
        <v>0</v>
      </c>
      <c r="V83" s="9">
        <v>-1.3</v>
      </c>
    </row>
    <row r="84" spans="1:22" x14ac:dyDescent="0.15">
      <c r="A84" s="1">
        <v>43374</v>
      </c>
      <c r="B84" s="2">
        <v>0.57638999999999996</v>
      </c>
      <c r="C84" s="2">
        <v>0.72636000000000001</v>
      </c>
      <c r="D84" s="2">
        <v>0.2271</v>
      </c>
      <c r="E84" s="2">
        <v>0.69274999999999998</v>
      </c>
      <c r="F84" s="2">
        <v>46.153849999999998</v>
      </c>
      <c r="G84" s="2">
        <v>3.8333333333333335</v>
      </c>
      <c r="H84" s="2">
        <v>-1.17371</v>
      </c>
      <c r="I84" s="8">
        <v>669.31500000000005</v>
      </c>
      <c r="J84">
        <v>2.1200842788934953</v>
      </c>
      <c r="K84">
        <v>2.1374345816141211</v>
      </c>
      <c r="L84">
        <f t="shared" si="7"/>
        <v>-1.7350302720625876E-2</v>
      </c>
      <c r="M84">
        <v>0.45898202729893228</v>
      </c>
      <c r="N84">
        <v>0.81474317335273294</v>
      </c>
      <c r="O84">
        <f t="shared" si="12"/>
        <v>-0.22410891299997482</v>
      </c>
      <c r="P84">
        <v>-2.7726299999999999</v>
      </c>
      <c r="Q84">
        <f t="shared" si="13"/>
        <v>-0.28728199809197946</v>
      </c>
      <c r="R84">
        <f t="shared" si="8"/>
        <v>0</v>
      </c>
      <c r="S84">
        <f t="shared" si="9"/>
        <v>0</v>
      </c>
      <c r="T84">
        <f t="shared" si="10"/>
        <v>0</v>
      </c>
      <c r="U84">
        <f t="shared" si="11"/>
        <v>1</v>
      </c>
      <c r="V84" s="9">
        <v>4.0999999999999996</v>
      </c>
    </row>
    <row r="85" spans="1:22" x14ac:dyDescent="0.15">
      <c r="A85" s="1">
        <v>43466</v>
      </c>
      <c r="B85" s="2">
        <v>0.65517000000000003</v>
      </c>
      <c r="C85" s="2">
        <v>0.16594999999999999</v>
      </c>
      <c r="D85" s="2">
        <v>0.97075</v>
      </c>
      <c r="E85" s="2">
        <v>0.34611999999999998</v>
      </c>
      <c r="F85" s="2">
        <v>-15.78947</v>
      </c>
      <c r="G85" s="2">
        <v>3.8666666666666667</v>
      </c>
      <c r="H85" s="2">
        <v>-0.47505999999999998</v>
      </c>
      <c r="I85" s="8">
        <v>607.97500000000002</v>
      </c>
      <c r="J85">
        <v>1.6562379161294154</v>
      </c>
      <c r="K85">
        <v>1.8736988560674854</v>
      </c>
      <c r="L85">
        <f t="shared" si="7"/>
        <v>-0.21746093993807003</v>
      </c>
      <c r="M85">
        <v>0.27298695677910106</v>
      </c>
      <c r="N85">
        <v>0.93981869985141309</v>
      </c>
      <c r="O85">
        <f t="shared" si="12"/>
        <v>-0.13179672832209643</v>
      </c>
      <c r="P85">
        <v>-1.7820800000000001</v>
      </c>
      <c r="Q85">
        <f t="shared" si="13"/>
        <v>-8.1441661696981971E-2</v>
      </c>
      <c r="R85">
        <f t="shared" si="8"/>
        <v>1</v>
      </c>
      <c r="S85">
        <f t="shared" si="9"/>
        <v>0</v>
      </c>
      <c r="T85">
        <f t="shared" si="10"/>
        <v>0</v>
      </c>
      <c r="U85">
        <f t="shared" si="11"/>
        <v>0</v>
      </c>
      <c r="V85" s="9">
        <v>2</v>
      </c>
    </row>
    <row r="86" spans="1:22" x14ac:dyDescent="0.15">
      <c r="A86" s="1">
        <v>43556</v>
      </c>
      <c r="B86" s="2">
        <v>0.43828</v>
      </c>
      <c r="C86" s="2">
        <v>-0.48365000000000002</v>
      </c>
      <c r="D86" s="2">
        <v>0.32656000000000002</v>
      </c>
      <c r="E86" s="2">
        <v>1.33423</v>
      </c>
      <c r="F86" s="2">
        <v>12.5</v>
      </c>
      <c r="G86" s="2">
        <v>3.6333333333333333</v>
      </c>
      <c r="H86" s="2">
        <v>0.60992000000000002</v>
      </c>
      <c r="I86" s="8">
        <v>653.44200000000001</v>
      </c>
      <c r="J86">
        <v>1.9438868748743436</v>
      </c>
      <c r="K86">
        <v>1.7290286863258526</v>
      </c>
      <c r="L86">
        <f t="shared" si="7"/>
        <v>0.21485818854849104</v>
      </c>
      <c r="M86">
        <v>-0.36317881925899315</v>
      </c>
      <c r="N86">
        <v>0.77494058535693722</v>
      </c>
      <c r="O86">
        <f t="shared" si="12"/>
        <v>-8.1004695163624296E-2</v>
      </c>
      <c r="P86">
        <v>-0.36427999999999994</v>
      </c>
      <c r="Q86">
        <f t="shared" si="13"/>
        <v>-0.78148116567263859</v>
      </c>
      <c r="R86">
        <f t="shared" si="8"/>
        <v>0</v>
      </c>
      <c r="S86">
        <f t="shared" si="9"/>
        <v>1</v>
      </c>
      <c r="T86">
        <f t="shared" si="10"/>
        <v>0</v>
      </c>
      <c r="U86">
        <f t="shared" si="11"/>
        <v>0</v>
      </c>
      <c r="V86" s="9">
        <v>1.3</v>
      </c>
    </row>
    <row r="87" spans="1:22" x14ac:dyDescent="0.15">
      <c r="A87" s="1">
        <v>43647</v>
      </c>
      <c r="B87" s="2">
        <v>0.58352000000000004</v>
      </c>
      <c r="C87" s="2">
        <v>-0.29887000000000002</v>
      </c>
      <c r="D87" s="2">
        <v>0.22549</v>
      </c>
      <c r="E87" s="2">
        <v>1.2620199999999999</v>
      </c>
      <c r="F87" s="2">
        <v>-16.66667</v>
      </c>
      <c r="G87" s="2">
        <v>3.6</v>
      </c>
      <c r="H87" s="2">
        <v>-1.0279400000000001</v>
      </c>
      <c r="I87" s="8">
        <v>718.75599999999997</v>
      </c>
      <c r="J87">
        <v>1.7023068543265605</v>
      </c>
      <c r="K87">
        <v>1.6318809216905408</v>
      </c>
      <c r="L87">
        <f t="shared" si="7"/>
        <v>7.0425932636019706E-2</v>
      </c>
      <c r="M87">
        <v>-0.20359716023393981</v>
      </c>
      <c r="N87">
        <v>0.82496613633492188</v>
      </c>
      <c r="O87">
        <f t="shared" si="12"/>
        <v>-1.1538015364756404E-2</v>
      </c>
      <c r="P87">
        <v>-1.00186</v>
      </c>
      <c r="Q87">
        <f t="shared" si="13"/>
        <v>-0.65620304817090003</v>
      </c>
      <c r="R87">
        <f t="shared" si="8"/>
        <v>0</v>
      </c>
      <c r="S87">
        <f t="shared" si="9"/>
        <v>0</v>
      </c>
      <c r="T87">
        <f t="shared" si="10"/>
        <v>1</v>
      </c>
      <c r="U87">
        <f t="shared" si="11"/>
        <v>0</v>
      </c>
      <c r="V87" s="9">
        <v>2.9</v>
      </c>
    </row>
    <row r="88" spans="1:22" x14ac:dyDescent="0.15">
      <c r="A88" s="1">
        <v>43739</v>
      </c>
      <c r="B88" s="2">
        <v>0.63078999999999996</v>
      </c>
      <c r="C88" s="2">
        <v>0.16647999999999999</v>
      </c>
      <c r="D88" s="2">
        <v>0.42481999999999998</v>
      </c>
      <c r="E88" s="2">
        <v>1.0350600000000001</v>
      </c>
      <c r="F88" s="2">
        <v>-13.33333</v>
      </c>
      <c r="G88" s="2">
        <v>3.6</v>
      </c>
      <c r="H88" s="2">
        <v>-0.34621000000000002</v>
      </c>
      <c r="I88" s="8">
        <v>778.73699999999997</v>
      </c>
      <c r="J88">
        <v>1.7085620147393188</v>
      </c>
      <c r="K88">
        <v>1.6786218533114077</v>
      </c>
      <c r="L88">
        <f t="shared" si="7"/>
        <v>2.9940161427911116E-2</v>
      </c>
      <c r="M88">
        <v>9.1666560709322553E-2</v>
      </c>
      <c r="N88">
        <v>0.82617495856904666</v>
      </c>
      <c r="O88">
        <f t="shared" si="12"/>
        <v>1.1431785216313717E-2</v>
      </c>
      <c r="P88">
        <v>0.82750000000000001</v>
      </c>
      <c r="Q88">
        <f t="shared" si="13"/>
        <v>-0.36731546658960973</v>
      </c>
      <c r="R88">
        <f t="shared" si="8"/>
        <v>0</v>
      </c>
      <c r="S88">
        <f t="shared" si="9"/>
        <v>0</v>
      </c>
      <c r="T88">
        <f t="shared" si="10"/>
        <v>0</v>
      </c>
      <c r="U88">
        <f t="shared" si="11"/>
        <v>1</v>
      </c>
      <c r="V88" s="9">
        <v>10.5</v>
      </c>
    </row>
    <row r="89" spans="1:22" x14ac:dyDescent="0.15">
      <c r="A89" s="1">
        <v>43831</v>
      </c>
      <c r="B89" s="2">
        <v>0.58126999999999995</v>
      </c>
      <c r="C89" s="2">
        <v>0.24792</v>
      </c>
      <c r="D89" s="2">
        <v>0.86260000000000003</v>
      </c>
      <c r="E89" s="2">
        <v>-1.32829</v>
      </c>
      <c r="F89" s="2">
        <v>30.76923</v>
      </c>
      <c r="G89" s="2">
        <v>3.8333333333333335</v>
      </c>
      <c r="H89" s="2">
        <v>-0.90861000000000003</v>
      </c>
      <c r="I89" s="8">
        <v>323.20400000000001</v>
      </c>
      <c r="J89">
        <v>1.4767156328715467</v>
      </c>
      <c r="K89">
        <v>1.5411520487295867</v>
      </c>
      <c r="L89">
        <f t="shared" si="7"/>
        <v>-6.4436415858039942E-2</v>
      </c>
      <c r="M89">
        <v>1.2857818495373368</v>
      </c>
      <c r="N89">
        <v>1.0455574273615973</v>
      </c>
      <c r="O89">
        <f t="shared" si="12"/>
        <v>0.10573872751018421</v>
      </c>
      <c r="P89">
        <v>-0.43355000000000005</v>
      </c>
      <c r="Q89">
        <f t="shared" si="13"/>
        <v>1.0127948927582358</v>
      </c>
      <c r="R89">
        <f t="shared" si="8"/>
        <v>1</v>
      </c>
      <c r="S89">
        <f t="shared" si="9"/>
        <v>0</v>
      </c>
      <c r="T89">
        <f t="shared" si="10"/>
        <v>0</v>
      </c>
      <c r="U89">
        <f t="shared" si="11"/>
        <v>0</v>
      </c>
      <c r="V89" s="9">
        <v>27.9</v>
      </c>
    </row>
    <row r="90" spans="1:22" x14ac:dyDescent="0.15">
      <c r="A90" s="1">
        <v>43922</v>
      </c>
      <c r="B90" s="2">
        <v>-0.50826000000000005</v>
      </c>
      <c r="C90" s="2">
        <v>-0.13486000000000001</v>
      </c>
      <c r="D90" s="2">
        <v>2.4597699999999998</v>
      </c>
      <c r="E90" s="2">
        <v>-9.0111799999999995</v>
      </c>
      <c r="F90" s="2">
        <v>-147.05882</v>
      </c>
      <c r="G90" s="2">
        <v>13</v>
      </c>
      <c r="H90" s="2">
        <v>-3.5059300000000002</v>
      </c>
      <c r="I90" s="8">
        <v>-1613.124</v>
      </c>
      <c r="J90">
        <v>8.1204360100080961E-2</v>
      </c>
      <c r="K90">
        <v>1.1841864133791173</v>
      </c>
      <c r="L90">
        <f t="shared" si="7"/>
        <v>-1.1029820532790364</v>
      </c>
      <c r="M90">
        <v>2.6539302271590191</v>
      </c>
      <c r="N90">
        <v>3.7231597814697923</v>
      </c>
      <c r="O90">
        <f t="shared" si="12"/>
        <v>2.9482191961128552</v>
      </c>
      <c r="P90">
        <v>-4.11585</v>
      </c>
      <c r="Q90">
        <f t="shared" si="13"/>
        <v>3.0171090464180121</v>
      </c>
      <c r="R90">
        <f t="shared" si="8"/>
        <v>0</v>
      </c>
      <c r="S90">
        <f t="shared" si="9"/>
        <v>1</v>
      </c>
      <c r="T90">
        <f t="shared" si="10"/>
        <v>0</v>
      </c>
      <c r="U90">
        <f t="shared" si="11"/>
        <v>0</v>
      </c>
      <c r="V90" s="9">
        <v>14.8</v>
      </c>
    </row>
    <row r="91" spans="1:22" x14ac:dyDescent="0.15">
      <c r="A91" s="1">
        <v>44013</v>
      </c>
      <c r="B91" s="2">
        <v>0.94932000000000005</v>
      </c>
      <c r="C91" s="2">
        <v>0.19306000000000001</v>
      </c>
      <c r="D91" s="2">
        <v>0.26573000000000002</v>
      </c>
      <c r="E91" s="2">
        <v>9.7747700000000002</v>
      </c>
      <c r="F91" s="2">
        <v>-487.5</v>
      </c>
      <c r="G91" s="2">
        <v>8.8000000000000007</v>
      </c>
      <c r="H91" s="2">
        <v>3.0463900000000002</v>
      </c>
      <c r="I91" s="8">
        <v>-239.893</v>
      </c>
      <c r="J91">
        <v>1.6105125356818573</v>
      </c>
      <c r="K91">
        <v>1.3462851647072129</v>
      </c>
      <c r="L91">
        <f t="shared" si="7"/>
        <v>0.26422737097464433</v>
      </c>
      <c r="M91">
        <v>1.6582245166035097</v>
      </c>
      <c r="N91">
        <v>2.0908826118052661</v>
      </c>
      <c r="O91">
        <f t="shared" si="12"/>
        <v>1.2659164754703442</v>
      </c>
      <c r="P91">
        <v>4.0743299999999998</v>
      </c>
      <c r="Q91">
        <f t="shared" si="13"/>
        <v>1.8618216768374496</v>
      </c>
      <c r="R91">
        <f t="shared" si="8"/>
        <v>0</v>
      </c>
      <c r="S91">
        <f t="shared" si="9"/>
        <v>0</v>
      </c>
      <c r="T91">
        <f t="shared" si="10"/>
        <v>1</v>
      </c>
      <c r="U91">
        <f t="shared" si="11"/>
        <v>0</v>
      </c>
      <c r="V91" s="9">
        <v>-12.2</v>
      </c>
    </row>
    <row r="92" spans="1:22" x14ac:dyDescent="0.15">
      <c r="A92" s="1">
        <v>44105</v>
      </c>
      <c r="B92" s="2">
        <v>0.61192999999999997</v>
      </c>
      <c r="C92" s="2">
        <v>1.68923</v>
      </c>
      <c r="D92" s="2">
        <v>0.22488</v>
      </c>
      <c r="E92" s="2">
        <v>1.8714</v>
      </c>
      <c r="F92" s="2">
        <v>-41.935479999999998</v>
      </c>
      <c r="G92" s="2">
        <v>6.7333333333333334</v>
      </c>
      <c r="H92" s="2">
        <v>0.70518000000000003</v>
      </c>
      <c r="I92" s="8">
        <v>-66.191000000000003</v>
      </c>
      <c r="J92">
        <v>1.4888628113434994</v>
      </c>
      <c r="K92">
        <v>1.3771135836880557</v>
      </c>
      <c r="L92">
        <f t="shared" si="7"/>
        <v>0.11174922765544371</v>
      </c>
      <c r="M92">
        <v>0.82755771451766058</v>
      </c>
      <c r="N92">
        <v>1.5850844942255338</v>
      </c>
      <c r="O92">
        <f t="shared" si="12"/>
        <v>0.75890953565648711</v>
      </c>
      <c r="P92">
        <v>1.05139</v>
      </c>
      <c r="Q92">
        <f t="shared" si="13"/>
        <v>0.73589115380833803</v>
      </c>
      <c r="R92">
        <f t="shared" si="8"/>
        <v>0</v>
      </c>
      <c r="S92">
        <f t="shared" si="9"/>
        <v>0</v>
      </c>
      <c r="T92">
        <f t="shared" si="10"/>
        <v>0</v>
      </c>
      <c r="U92">
        <f t="shared" si="11"/>
        <v>1</v>
      </c>
      <c r="V92" s="9">
        <v>-11.5</v>
      </c>
    </row>
    <row r="93" spans="1:22" x14ac:dyDescent="0.15">
      <c r="A93" s="1">
        <v>44197</v>
      </c>
      <c r="B93" s="2">
        <v>0.38401999999999997</v>
      </c>
      <c r="C93" s="2">
        <v>1.2710900000000001</v>
      </c>
      <c r="D93" s="2">
        <v>0.64197000000000004</v>
      </c>
      <c r="E93" s="2">
        <v>3.3340800000000002</v>
      </c>
      <c r="F93" s="2">
        <v>100</v>
      </c>
      <c r="G93" s="2">
        <v>6.2333333333333334</v>
      </c>
      <c r="H93" s="2">
        <v>3.5281400000000001</v>
      </c>
      <c r="I93" s="8">
        <v>755.12800000000004</v>
      </c>
      <c r="J93">
        <v>1.54513912491213</v>
      </c>
      <c r="K93">
        <v>1.4348011419799915</v>
      </c>
      <c r="L93">
        <f t="shared" si="7"/>
        <v>0.11033798293213848</v>
      </c>
      <c r="M93">
        <v>1.811035695277539</v>
      </c>
      <c r="N93">
        <v>1.3718374667935642</v>
      </c>
      <c r="O93">
        <f t="shared" si="12"/>
        <v>0.32628003943196693</v>
      </c>
      <c r="P93">
        <v>4.43675</v>
      </c>
      <c r="Q93">
        <f t="shared" si="13"/>
        <v>0.52525384574020229</v>
      </c>
      <c r="R93">
        <f t="shared" si="8"/>
        <v>1</v>
      </c>
      <c r="S93">
        <f t="shared" si="9"/>
        <v>0</v>
      </c>
      <c r="T93">
        <f t="shared" si="10"/>
        <v>0</v>
      </c>
      <c r="U93">
        <f t="shared" si="11"/>
        <v>0</v>
      </c>
      <c r="V93" s="9">
        <v>-0.1</v>
      </c>
    </row>
    <row r="94" spans="1:22" x14ac:dyDescent="0.15">
      <c r="A94" s="1">
        <v>44287</v>
      </c>
      <c r="B94" s="2">
        <v>1.7285699999999999</v>
      </c>
      <c r="C94" s="2">
        <v>2.8496999999999999</v>
      </c>
      <c r="D94" s="2">
        <v>1.15402</v>
      </c>
      <c r="E94" s="2">
        <v>4.81785</v>
      </c>
      <c r="F94" s="2">
        <v>66.666669999999996</v>
      </c>
      <c r="G94" s="2">
        <v>5.9333333333333336</v>
      </c>
      <c r="H94" s="2">
        <v>3.5640000000000001</v>
      </c>
      <c r="I94" s="8">
        <v>3024.46</v>
      </c>
      <c r="J94">
        <v>1.8927044291403212</v>
      </c>
      <c r="K94">
        <v>1.5859295327069085</v>
      </c>
      <c r="L94">
        <f t="shared" si="7"/>
        <v>0.30677489643341271</v>
      </c>
      <c r="M94">
        <v>2.8255212317073366</v>
      </c>
      <c r="N94">
        <v>0.94221207801626894</v>
      </c>
      <c r="O94">
        <f t="shared" si="12"/>
        <v>-2.7809477034535233</v>
      </c>
      <c r="P94">
        <v>7.0699300000000003</v>
      </c>
      <c r="Q94">
        <f t="shared" si="13"/>
        <v>0.17159100454831755</v>
      </c>
      <c r="R94">
        <f t="shared" si="8"/>
        <v>0</v>
      </c>
      <c r="S94">
        <f t="shared" si="9"/>
        <v>1</v>
      </c>
      <c r="T94">
        <f t="shared" si="10"/>
        <v>0</v>
      </c>
      <c r="U94">
        <f t="shared" si="11"/>
        <v>0</v>
      </c>
      <c r="V94" s="9">
        <v>-4.5</v>
      </c>
    </row>
    <row r="95" spans="1:22" x14ac:dyDescent="0.15">
      <c r="A95" s="1">
        <v>44378</v>
      </c>
      <c r="B95" s="2">
        <v>1.2786299999999999</v>
      </c>
      <c r="C95" s="2">
        <v>2.19068</v>
      </c>
      <c r="D95" s="2">
        <v>1.8530500000000001</v>
      </c>
      <c r="E95" s="2">
        <v>2.0953900000000001</v>
      </c>
      <c r="F95" s="2">
        <v>-20</v>
      </c>
      <c r="G95" s="2">
        <v>5.0666666666666664</v>
      </c>
      <c r="H95" s="2">
        <v>1.4318</v>
      </c>
      <c r="I95" s="8">
        <v>1835.8789999999999</v>
      </c>
      <c r="J95">
        <v>2.4065552763272042</v>
      </c>
      <c r="K95">
        <v>1.6159198641212531</v>
      </c>
      <c r="L95">
        <f t="shared" si="7"/>
        <v>0.79063541220595113</v>
      </c>
      <c r="M95">
        <v>3.1617044536967733</v>
      </c>
      <c r="N95">
        <v>0.73965318456786411</v>
      </c>
      <c r="O95">
        <f t="shared" si="12"/>
        <v>-1.3512294272374019</v>
      </c>
      <c r="P95">
        <v>-1.6145900000000002</v>
      </c>
      <c r="Q95">
        <f t="shared" si="13"/>
        <v>1.5034799370932637</v>
      </c>
      <c r="R95">
        <f t="shared" si="8"/>
        <v>0</v>
      </c>
      <c r="S95">
        <f t="shared" si="9"/>
        <v>0</v>
      </c>
      <c r="T95">
        <f t="shared" si="10"/>
        <v>1</v>
      </c>
      <c r="U95">
        <f t="shared" si="11"/>
        <v>0</v>
      </c>
      <c r="V95" s="9">
        <v>-2.8</v>
      </c>
    </row>
    <row r="96" spans="1:22" x14ac:dyDescent="0.15">
      <c r="A96" s="1">
        <v>44470</v>
      </c>
      <c r="B96" s="2">
        <v>1.5432699999999999</v>
      </c>
      <c r="C96" s="2">
        <v>3.92489</v>
      </c>
      <c r="D96" s="2">
        <v>2.1352699999999998</v>
      </c>
      <c r="E96" s="2">
        <v>2.6594899999999999</v>
      </c>
      <c r="F96" s="2">
        <v>8.3333300000000001</v>
      </c>
      <c r="G96" s="2">
        <v>4.166666666666667</v>
      </c>
      <c r="H96" s="2">
        <v>2.0802399999999999</v>
      </c>
      <c r="I96" s="8">
        <v>2293.5189999999998</v>
      </c>
      <c r="J96">
        <v>2.3181722208964031</v>
      </c>
      <c r="K96">
        <v>1.7100703537761168</v>
      </c>
      <c r="L96">
        <f t="shared" si="7"/>
        <v>0.60810186712028624</v>
      </c>
      <c r="M96">
        <v>4.1548367845804863</v>
      </c>
      <c r="N96">
        <v>0.57537077577912032</v>
      </c>
      <c r="O96">
        <f t="shared" si="12"/>
        <v>-1.0097137184464136</v>
      </c>
      <c r="P96">
        <v>1.3750599999999999</v>
      </c>
      <c r="Q96">
        <f t="shared" si="13"/>
        <v>3.3272790700628256</v>
      </c>
      <c r="R96">
        <f t="shared" si="8"/>
        <v>0</v>
      </c>
      <c r="S96">
        <f t="shared" si="9"/>
        <v>0</v>
      </c>
      <c r="T96">
        <f t="shared" si="10"/>
        <v>0</v>
      </c>
      <c r="U96">
        <f t="shared" si="11"/>
        <v>1</v>
      </c>
      <c r="V96" s="9">
        <v>-0.9</v>
      </c>
    </row>
    <row r="97" spans="1:22" x14ac:dyDescent="0.15">
      <c r="A97" s="1">
        <v>44562</v>
      </c>
      <c r="B97" s="2">
        <v>1.63507</v>
      </c>
      <c r="C97" s="2">
        <v>3.3879600000000001</v>
      </c>
      <c r="D97" s="2">
        <v>2.5232399999999999</v>
      </c>
      <c r="E97" s="2">
        <v>1.8688199999999999</v>
      </c>
      <c r="F97" s="2">
        <v>15.38462</v>
      </c>
      <c r="G97" s="2">
        <v>3.8</v>
      </c>
      <c r="H97" s="2">
        <v>4.1969900000000004</v>
      </c>
      <c r="I97" s="8">
        <v>2034.5830000000001</v>
      </c>
      <c r="J97">
        <v>2.6422920475067877</v>
      </c>
      <c r="K97">
        <v>1.888300530496585</v>
      </c>
      <c r="L97">
        <f t="shared" si="7"/>
        <v>0.75399151701020273</v>
      </c>
      <c r="M97">
        <v>3.0706438356140286</v>
      </c>
      <c r="N97">
        <v>0.58504816060715004</v>
      </c>
      <c r="O97">
        <f t="shared" si="12"/>
        <v>-0.78678930618641418</v>
      </c>
      <c r="P97">
        <v>0.66885000000000039</v>
      </c>
      <c r="Q97">
        <f t="shared" si="13"/>
        <v>1.2596081403364896</v>
      </c>
      <c r="R97">
        <f t="shared" si="8"/>
        <v>1</v>
      </c>
      <c r="S97">
        <f t="shared" si="9"/>
        <v>0</v>
      </c>
      <c r="T97">
        <f t="shared" si="10"/>
        <v>0</v>
      </c>
      <c r="U97">
        <f t="shared" si="11"/>
        <v>0</v>
      </c>
      <c r="V97" s="9">
        <v>4.2</v>
      </c>
    </row>
    <row r="98" spans="1:22" x14ac:dyDescent="0.15">
      <c r="A98" s="1">
        <v>44652</v>
      </c>
      <c r="B98" s="2">
        <v>1.43727</v>
      </c>
      <c r="C98" s="2">
        <v>6.2577999999999996</v>
      </c>
      <c r="D98" s="2">
        <v>3.1306099999999999</v>
      </c>
      <c r="E98" s="2">
        <v>2.2574999999999998</v>
      </c>
      <c r="F98" s="2">
        <v>-21.66667</v>
      </c>
      <c r="G98" s="2">
        <v>3.6333333333333333</v>
      </c>
      <c r="H98" s="2">
        <v>3.42258</v>
      </c>
      <c r="I98" s="8">
        <v>1864.548</v>
      </c>
      <c r="J98">
        <v>3.7514248774649324</v>
      </c>
      <c r="K98">
        <v>2.3276375193522076</v>
      </c>
      <c r="L98">
        <f t="shared" si="7"/>
        <v>1.4237873581127247</v>
      </c>
      <c r="M98">
        <v>2.8545511276962352</v>
      </c>
      <c r="N98">
        <v>0.50570745382851179</v>
      </c>
      <c r="O98">
        <f t="shared" si="12"/>
        <v>-0.43650462418775715</v>
      </c>
      <c r="P98">
        <v>-0.1414200000000001</v>
      </c>
      <c r="Q98">
        <f t="shared" si="13"/>
        <v>2.9029895988898602E-2</v>
      </c>
      <c r="R98">
        <f t="shared" si="8"/>
        <v>0</v>
      </c>
      <c r="S98">
        <f t="shared" si="9"/>
        <v>1</v>
      </c>
      <c r="T98">
        <f t="shared" si="10"/>
        <v>0</v>
      </c>
      <c r="U98">
        <f t="shared" si="11"/>
        <v>0</v>
      </c>
      <c r="V98" s="9">
        <v>2.2999999999999998</v>
      </c>
    </row>
    <row r="99" spans="1:22" x14ac:dyDescent="0.15">
      <c r="A99" s="1">
        <v>44743</v>
      </c>
      <c r="B99" s="2">
        <v>1.5228900000000001</v>
      </c>
      <c r="C99" s="2">
        <v>4.75922</v>
      </c>
      <c r="D99" s="2">
        <v>2.9542199999999998</v>
      </c>
      <c r="E99" s="2">
        <v>1.54521</v>
      </c>
      <c r="F99" s="2">
        <v>6.3829799999999999</v>
      </c>
      <c r="G99" s="2">
        <v>3.5333333333333332</v>
      </c>
      <c r="H99" s="2">
        <v>-2.2737500000000002</v>
      </c>
      <c r="I99" s="8">
        <v>1763.115</v>
      </c>
      <c r="J99">
        <v>3.6218530136457443</v>
      </c>
      <c r="K99">
        <v>2.2293846552543375</v>
      </c>
      <c r="L99">
        <f t="shared" si="7"/>
        <v>1.3924683583914068</v>
      </c>
      <c r="M99">
        <v>1.4186766155276793</v>
      </c>
      <c r="N99">
        <v>0.53837395409261934</v>
      </c>
      <c r="O99">
        <f t="shared" si="12"/>
        <v>-0.20127923047524476</v>
      </c>
      <c r="P99">
        <v>-3.7055500000000001</v>
      </c>
      <c r="Q99">
        <f t="shared" si="13"/>
        <v>-1.743027838169094</v>
      </c>
      <c r="R99">
        <f t="shared" si="8"/>
        <v>0</v>
      </c>
      <c r="S99">
        <f t="shared" si="9"/>
        <v>0</v>
      </c>
      <c r="T99">
        <f t="shared" si="10"/>
        <v>1</v>
      </c>
      <c r="U99">
        <f t="shared" si="11"/>
        <v>0</v>
      </c>
      <c r="V99" s="9">
        <v>-0.1</v>
      </c>
    </row>
    <row r="100" spans="1:22" x14ac:dyDescent="0.15">
      <c r="A100" s="1">
        <v>44835</v>
      </c>
      <c r="B100" s="2">
        <v>1.2538400000000001</v>
      </c>
      <c r="C100" s="2">
        <v>-2.5000000000000001E-4</v>
      </c>
      <c r="D100" s="2">
        <v>1.65889</v>
      </c>
      <c r="E100" s="2">
        <v>1.31681</v>
      </c>
      <c r="F100" s="2">
        <v>-6</v>
      </c>
      <c r="G100" s="2">
        <v>3.5666666666666669</v>
      </c>
      <c r="H100" s="2">
        <v>-1.8428899999999999</v>
      </c>
      <c r="I100" s="8">
        <v>1313.2349999999999</v>
      </c>
      <c r="J100">
        <v>2.3482855423691067</v>
      </c>
      <c r="K100">
        <v>52.3538257730523</v>
      </c>
      <c r="L100">
        <f t="shared" si="7"/>
        <v>-50.005540230683195</v>
      </c>
      <c r="M100">
        <v>1.2113038449712532</v>
      </c>
      <c r="N100" s="6">
        <v>0.52277051883800585</v>
      </c>
      <c r="O100">
        <f t="shared" si="12"/>
        <v>-5.2600256941114476E-2</v>
      </c>
      <c r="P100">
        <v>-3.9231299999999996</v>
      </c>
      <c r="Q100">
        <f t="shared" si="13"/>
        <v>-2.9435329396092333</v>
      </c>
      <c r="R100">
        <f t="shared" si="8"/>
        <v>0</v>
      </c>
      <c r="S100">
        <f t="shared" si="9"/>
        <v>0</v>
      </c>
      <c r="T100">
        <f t="shared" si="10"/>
        <v>0</v>
      </c>
      <c r="U100">
        <f t="shared" si="11"/>
        <v>1</v>
      </c>
      <c r="V100" s="9">
        <v>-2.9</v>
      </c>
    </row>
    <row r="101" spans="1:22" x14ac:dyDescent="0.15">
      <c r="A101" s="1">
        <v>44927</v>
      </c>
      <c r="B101" s="2">
        <v>1.2073499999999999</v>
      </c>
      <c r="C101" s="2">
        <v>1.10941</v>
      </c>
      <c r="D101" s="2">
        <v>1.3237099999999999</v>
      </c>
      <c r="E101" s="2">
        <v>1.9674</v>
      </c>
      <c r="F101" s="2">
        <v>6.3829799999999999</v>
      </c>
      <c r="G101" s="2">
        <v>3.5</v>
      </c>
      <c r="H101" s="2">
        <v>-0.91527999999999998</v>
      </c>
      <c r="I101" s="8">
        <v>1326.9269999999999</v>
      </c>
      <c r="J101">
        <v>2.2166576128409377</v>
      </c>
      <c r="K101">
        <v>64.25240035642517</v>
      </c>
      <c r="L101">
        <f t="shared" si="7"/>
        <v>-62.03574274358423</v>
      </c>
      <c r="M101">
        <v>-0.10719921108432302</v>
      </c>
      <c r="N101" s="6">
        <v>0.64129032258064511</v>
      </c>
      <c r="O101">
        <f t="shared" si="12"/>
        <v>5.6242161973495075E-2</v>
      </c>
      <c r="P101">
        <v>-5.1122700000000005</v>
      </c>
      <c r="Q101">
        <f t="shared" si="13"/>
        <v>-3.1778430466983516</v>
      </c>
      <c r="R101">
        <f t="shared" si="8"/>
        <v>1</v>
      </c>
      <c r="S101">
        <f t="shared" si="9"/>
        <v>0</v>
      </c>
      <c r="T101">
        <f t="shared" si="10"/>
        <v>0</v>
      </c>
      <c r="U101">
        <f t="shared" si="11"/>
        <v>0</v>
      </c>
      <c r="V101" s="9">
        <v>-2.5</v>
      </c>
    </row>
    <row r="102" spans="1:22" x14ac:dyDescent="0.15">
      <c r="A102" s="1">
        <v>45017</v>
      </c>
      <c r="B102" s="2">
        <v>1.14974</v>
      </c>
      <c r="C102" s="2">
        <v>-3.5776400000000002</v>
      </c>
      <c r="D102" s="2">
        <v>0.60411999999999999</v>
      </c>
      <c r="E102" s="2">
        <v>0.81794</v>
      </c>
      <c r="F102" s="2">
        <v>-26</v>
      </c>
      <c r="G102" s="2">
        <v>3.5666666666666669</v>
      </c>
      <c r="H102" s="2">
        <v>-0.66318999999999995</v>
      </c>
      <c r="I102" s="8">
        <v>1096.1890000000001</v>
      </c>
      <c r="J102">
        <v>2.0070665180545992</v>
      </c>
      <c r="K102">
        <v>60.94733326299896</v>
      </c>
      <c r="L102">
        <f t="shared" si="7"/>
        <v>-58.94026674494436</v>
      </c>
      <c r="M102">
        <v>-1.3281823222406779</v>
      </c>
      <c r="N102" s="6">
        <v>0.60203045685279188</v>
      </c>
      <c r="O102">
        <f t="shared" si="12"/>
        <v>9.6323003024280096E-2</v>
      </c>
      <c r="P102">
        <v>-4.0857700000000001</v>
      </c>
      <c r="Q102">
        <f t="shared" si="13"/>
        <v>-4.1827334499369133</v>
      </c>
      <c r="R102">
        <f t="shared" si="8"/>
        <v>0</v>
      </c>
      <c r="S102">
        <f t="shared" si="9"/>
        <v>1</v>
      </c>
      <c r="T102">
        <f t="shared" si="10"/>
        <v>0</v>
      </c>
      <c r="U102">
        <f t="shared" si="11"/>
        <v>0</v>
      </c>
      <c r="V102" s="9">
        <v>-3.9</v>
      </c>
    </row>
    <row r="103" spans="1:22" x14ac:dyDescent="0.15">
      <c r="A103" s="1">
        <v>45108</v>
      </c>
      <c r="B103" s="2">
        <v>0.73880999999999997</v>
      </c>
      <c r="C103" s="2">
        <v>4.7699999999999999E-2</v>
      </c>
      <c r="D103" s="2">
        <v>0.61633000000000004</v>
      </c>
      <c r="E103" s="2">
        <v>1.4142999999999999</v>
      </c>
      <c r="F103" s="2">
        <v>-45.945950000000003</v>
      </c>
      <c r="G103" s="2">
        <v>3.7</v>
      </c>
      <c r="H103" s="2">
        <v>0.30997000000000002</v>
      </c>
      <c r="I103" s="8">
        <v>1212.287</v>
      </c>
      <c r="J103">
        <v>2.1416656237064666</v>
      </c>
      <c r="K103">
        <v>67.250311189647363</v>
      </c>
      <c r="L103">
        <f t="shared" si="7"/>
        <v>-65.10864556594089</v>
      </c>
      <c r="M103">
        <v>-0.8767765622357192</v>
      </c>
      <c r="N103" s="6">
        <v>0.67250512041810862</v>
      </c>
      <c r="O103">
        <f t="shared" si="12"/>
        <v>0.13413116632548927</v>
      </c>
      <c r="P103">
        <v>2.58372</v>
      </c>
      <c r="Q103">
        <f t="shared" si="13"/>
        <v>-2.2954531777633984</v>
      </c>
      <c r="R103">
        <f t="shared" si="8"/>
        <v>0</v>
      </c>
      <c r="S103">
        <f t="shared" si="9"/>
        <v>0</v>
      </c>
      <c r="T103">
        <f t="shared" si="10"/>
        <v>1</v>
      </c>
      <c r="U103">
        <f t="shared" si="11"/>
        <v>0</v>
      </c>
      <c r="V103" s="9">
        <v>-2.9</v>
      </c>
    </row>
    <row r="104" spans="1:22" x14ac:dyDescent="0.15">
      <c r="A104" s="1">
        <v>45200</v>
      </c>
      <c r="B104" s="2">
        <v>0.82894999999999996</v>
      </c>
      <c r="C104" s="2">
        <v>1.45648</v>
      </c>
      <c r="D104" s="2">
        <v>0.40983999999999998</v>
      </c>
      <c r="E104" s="2">
        <v>1.25806</v>
      </c>
      <c r="F104" s="2">
        <v>0</v>
      </c>
      <c r="G104" s="2">
        <v>3.7333333333333334</v>
      </c>
      <c r="H104" s="2">
        <v>-0.66556000000000004</v>
      </c>
      <c r="I104" s="8">
        <v>1142.6410000000001</v>
      </c>
      <c r="J104">
        <v>2.3417291137848895</v>
      </c>
      <c r="K104">
        <v>68.934961215522321</v>
      </c>
      <c r="L104">
        <f t="shared" si="7"/>
        <v>-66.593232101737428</v>
      </c>
      <c r="M104">
        <v>-0.12669260219929876</v>
      </c>
      <c r="N104" s="6">
        <v>0.68862714809808845</v>
      </c>
      <c r="O104">
        <f t="shared" si="12"/>
        <v>0.1658566292600826</v>
      </c>
      <c r="P104">
        <v>1.17733</v>
      </c>
      <c r="Q104">
        <f t="shared" si="13"/>
        <v>-1.3379964471705519</v>
      </c>
      <c r="R104">
        <f t="shared" si="8"/>
        <v>0</v>
      </c>
      <c r="S104">
        <f t="shared" si="9"/>
        <v>0</v>
      </c>
      <c r="T104">
        <f t="shared" si="10"/>
        <v>0</v>
      </c>
      <c r="U104">
        <f t="shared" si="11"/>
        <v>1</v>
      </c>
      <c r="V104" s="9">
        <v>-1.7</v>
      </c>
    </row>
    <row r="105" spans="1:22" x14ac:dyDescent="0.15">
      <c r="B105" s="8"/>
    </row>
    <row r="106" spans="1:22" x14ac:dyDescent="0.15">
      <c r="B106" s="8"/>
    </row>
    <row r="107" spans="1:22" x14ac:dyDescent="0.15">
      <c r="B107" s="8"/>
    </row>
    <row r="108" spans="1:22" x14ac:dyDescent="0.15">
      <c r="B108" s="8"/>
    </row>
    <row r="109" spans="1:22" x14ac:dyDescent="0.15">
      <c r="B109" s="8"/>
    </row>
    <row r="110" spans="1:22" x14ac:dyDescent="0.15">
      <c r="B110" s="8"/>
    </row>
    <row r="111" spans="1:22" x14ac:dyDescent="0.15">
      <c r="B111" s="8"/>
    </row>
    <row r="112" spans="1:22" x14ac:dyDescent="0.15">
      <c r="B112" s="8"/>
    </row>
    <row r="113" spans="2:2" x14ac:dyDescent="0.15">
      <c r="B113" s="8"/>
    </row>
    <row r="114" spans="2:2" x14ac:dyDescent="0.15">
      <c r="B114" s="8"/>
    </row>
    <row r="115" spans="2:2" x14ac:dyDescent="0.15">
      <c r="B115" s="8"/>
    </row>
    <row r="116" spans="2:2" x14ac:dyDescent="0.15">
      <c r="B116" s="8"/>
    </row>
    <row r="117" spans="2:2" x14ac:dyDescent="0.15">
      <c r="B117" s="8"/>
    </row>
    <row r="118" spans="2:2" x14ac:dyDescent="0.15">
      <c r="B118" s="8"/>
    </row>
    <row r="119" spans="2:2" x14ac:dyDescent="0.15">
      <c r="B119" s="8"/>
    </row>
    <row r="120" spans="2:2" x14ac:dyDescent="0.15">
      <c r="B120" s="8"/>
    </row>
    <row r="121" spans="2:2" x14ac:dyDescent="0.15">
      <c r="B121" s="8"/>
    </row>
    <row r="122" spans="2:2" x14ac:dyDescent="0.15">
      <c r="B122" s="8"/>
    </row>
    <row r="123" spans="2:2" x14ac:dyDescent="0.15">
      <c r="B123" s="8"/>
    </row>
    <row r="124" spans="2:2" x14ac:dyDescent="0.15">
      <c r="B124" s="8"/>
    </row>
    <row r="125" spans="2:2" x14ac:dyDescent="0.15">
      <c r="B125" s="8"/>
    </row>
    <row r="126" spans="2:2" x14ac:dyDescent="0.15">
      <c r="B126" s="8"/>
    </row>
    <row r="127" spans="2:2" x14ac:dyDescent="0.15">
      <c r="B127" s="8"/>
    </row>
    <row r="128" spans="2:2" x14ac:dyDescent="0.15">
      <c r="B128" s="8"/>
    </row>
    <row r="129" spans="2:2" x14ac:dyDescent="0.15">
      <c r="B129" s="8"/>
    </row>
    <row r="130" spans="2:2" x14ac:dyDescent="0.15">
      <c r="B130" s="8"/>
    </row>
    <row r="131" spans="2:2" x14ac:dyDescent="0.15">
      <c r="B131" s="8"/>
    </row>
    <row r="132" spans="2:2" x14ac:dyDescent="0.15">
      <c r="B132" s="8"/>
    </row>
    <row r="133" spans="2:2" x14ac:dyDescent="0.15">
      <c r="B133" s="8"/>
    </row>
    <row r="134" spans="2:2" x14ac:dyDescent="0.15">
      <c r="B134" s="8"/>
    </row>
    <row r="135" spans="2:2" x14ac:dyDescent="0.15">
      <c r="B135" s="8"/>
    </row>
    <row r="136" spans="2:2" x14ac:dyDescent="0.15">
      <c r="B136" s="8"/>
    </row>
    <row r="137" spans="2:2" x14ac:dyDescent="0.15">
      <c r="B137" s="8"/>
    </row>
    <row r="138" spans="2:2" x14ac:dyDescent="0.15">
      <c r="B138" s="8"/>
    </row>
    <row r="139" spans="2:2" x14ac:dyDescent="0.15">
      <c r="B139" s="8"/>
    </row>
    <row r="140" spans="2:2" x14ac:dyDescent="0.15">
      <c r="B140" s="8"/>
    </row>
    <row r="141" spans="2:2" x14ac:dyDescent="0.15">
      <c r="B141" s="8"/>
    </row>
    <row r="142" spans="2:2" x14ac:dyDescent="0.15">
      <c r="B142" s="8"/>
    </row>
    <row r="143" spans="2:2" x14ac:dyDescent="0.15">
      <c r="B143" s="8"/>
    </row>
    <row r="144" spans="2:2" x14ac:dyDescent="0.15">
      <c r="B144" s="8"/>
    </row>
    <row r="145" spans="2:2" x14ac:dyDescent="0.15">
      <c r="B145" s="8"/>
    </row>
    <row r="146" spans="2:2" x14ac:dyDescent="0.15">
      <c r="B146" s="8"/>
    </row>
    <row r="147" spans="2:2" x14ac:dyDescent="0.15">
      <c r="B147" s="8"/>
    </row>
    <row r="148" spans="2:2" x14ac:dyDescent="0.15">
      <c r="B148" s="8"/>
    </row>
    <row r="149" spans="2:2" x14ac:dyDescent="0.15">
      <c r="B149" s="8"/>
    </row>
    <row r="150" spans="2:2" x14ac:dyDescent="0.15">
      <c r="B150" s="8"/>
    </row>
    <row r="151" spans="2:2" x14ac:dyDescent="0.15">
      <c r="B151" s="8"/>
    </row>
    <row r="152" spans="2:2" x14ac:dyDescent="0.15">
      <c r="B152" s="8"/>
    </row>
    <row r="153" spans="2:2" x14ac:dyDescent="0.15">
      <c r="B153" s="8"/>
    </row>
    <row r="154" spans="2:2" x14ac:dyDescent="0.15">
      <c r="B154" s="8"/>
    </row>
    <row r="155" spans="2:2" x14ac:dyDescent="0.15">
      <c r="B155" s="8"/>
    </row>
    <row r="156" spans="2:2" x14ac:dyDescent="0.15">
      <c r="B156" s="8"/>
    </row>
    <row r="157" spans="2:2" x14ac:dyDescent="0.15">
      <c r="B157" s="8"/>
    </row>
    <row r="158" spans="2:2" x14ac:dyDescent="0.15">
      <c r="B158" s="8"/>
    </row>
    <row r="159" spans="2:2" x14ac:dyDescent="0.15">
      <c r="B159" s="8"/>
    </row>
    <row r="160" spans="2:2" x14ac:dyDescent="0.15">
      <c r="B160" s="8"/>
    </row>
    <row r="161" spans="2:2" x14ac:dyDescent="0.15">
      <c r="B161" s="8"/>
    </row>
    <row r="162" spans="2:2" x14ac:dyDescent="0.15">
      <c r="B162" s="8"/>
    </row>
    <row r="163" spans="2:2" x14ac:dyDescent="0.15">
      <c r="B163" s="8"/>
    </row>
    <row r="164" spans="2:2" x14ac:dyDescent="0.15">
      <c r="B164" s="8"/>
    </row>
    <row r="165" spans="2:2" x14ac:dyDescent="0.15">
      <c r="B165" s="8"/>
    </row>
  </sheetData>
  <hyperlinks>
    <hyperlink ref="B1" r:id="rId1" display="CPI, quarterly, annualized" xr:uid="{991502DD-A129-4509-874C-0DF86E45A642}"/>
    <hyperlink ref="C1" r:id="rId2" xr:uid="{7BC85E82-4E2C-4CEB-94EA-C834FE7820EC}"/>
    <hyperlink ref="D1" r:id="rId3" location="0" xr:uid="{042495B9-6A74-4909-A297-866BD3985381}"/>
    <hyperlink ref="J1" r:id="rId4" xr:uid="{6FB7AA36-C77E-4921-A830-12D7B35BD790}"/>
    <hyperlink ref="K1" r:id="rId5" xr:uid="{65CF4C80-AA39-402A-9C53-6BE1097E0C4A}"/>
    <hyperlink ref="E1" r:id="rId6" xr:uid="{96BA70E1-6FD2-46E7-860E-33AA5EAAB6B7}"/>
    <hyperlink ref="F1" r:id="rId7" location="0" xr:uid="{8373A6A5-6B16-4075-9F51-0CC1B2060B6B}"/>
    <hyperlink ref="H1" r:id="rId8" location="0" xr:uid="{BC68BD31-3892-4E19-9557-66AE8A52E7A4}"/>
    <hyperlink ref="I1" r:id="rId9" xr:uid="{62F6F71E-59CE-DF48-9A7D-7799B9A18DD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AE08-D212-47F9-B0DB-EFB0493D5A3F}">
  <dimension ref="A1:AQ21"/>
  <sheetViews>
    <sheetView zoomScale="175" workbookViewId="0">
      <pane xSplit="1" topLeftCell="B1" activePane="topRight" state="frozen"/>
      <selection pane="topRight" activeCell="H20" sqref="H20"/>
    </sheetView>
  </sheetViews>
  <sheetFormatPr baseColWidth="10" defaultColWidth="8.83203125" defaultRowHeight="13" x14ac:dyDescent="0.15"/>
  <cols>
    <col min="1" max="1" width="10.83203125" customWidth="1"/>
    <col min="8" max="8" width="9.83203125" customWidth="1"/>
    <col min="9" max="9" width="11.83203125" customWidth="1"/>
  </cols>
  <sheetData>
    <row r="1" spans="1:43" x14ac:dyDescent="0.15">
      <c r="A1" s="4" t="s">
        <v>0</v>
      </c>
      <c r="B1" s="3" t="s">
        <v>1</v>
      </c>
      <c r="C1" s="3" t="s">
        <v>12</v>
      </c>
      <c r="D1" s="3" t="s">
        <v>14</v>
      </c>
      <c r="E1" s="3" t="s">
        <v>42</v>
      </c>
      <c r="F1" s="3" t="s">
        <v>43</v>
      </c>
      <c r="G1" s="9" t="s">
        <v>65</v>
      </c>
      <c r="H1" s="3" t="s">
        <v>59</v>
      </c>
      <c r="I1" s="3" t="s">
        <v>23</v>
      </c>
      <c r="J1" s="3" t="s">
        <v>4</v>
      </c>
      <c r="K1" s="3" t="s">
        <v>5</v>
      </c>
      <c r="L1" s="7" t="s">
        <v>95</v>
      </c>
      <c r="M1" s="3" t="s">
        <v>2</v>
      </c>
      <c r="N1" s="7" t="s">
        <v>16</v>
      </c>
      <c r="O1" s="7" t="s">
        <v>63</v>
      </c>
      <c r="P1" s="7" t="s">
        <v>99</v>
      </c>
      <c r="Q1" s="7" t="s">
        <v>109</v>
      </c>
      <c r="R1" s="7" t="s">
        <v>111</v>
      </c>
      <c r="S1" s="7" t="s">
        <v>86</v>
      </c>
      <c r="T1" s="7" t="s">
        <v>102</v>
      </c>
      <c r="U1" s="7" t="s">
        <v>85</v>
      </c>
      <c r="V1" s="7" t="s">
        <v>100</v>
      </c>
      <c r="W1" s="7" t="s">
        <v>84</v>
      </c>
      <c r="X1" s="7" t="s">
        <v>101</v>
      </c>
      <c r="Y1" s="7" t="s">
        <v>47</v>
      </c>
      <c r="Z1" s="7" t="s">
        <v>98</v>
      </c>
      <c r="AA1" s="7" t="s">
        <v>110</v>
      </c>
      <c r="AB1" s="7" t="s">
        <v>112</v>
      </c>
      <c r="AC1" s="7" t="s">
        <v>50</v>
      </c>
      <c r="AD1" s="7" t="s">
        <v>103</v>
      </c>
      <c r="AE1" s="7" t="s">
        <v>51</v>
      </c>
      <c r="AF1" s="7" t="s">
        <v>104</v>
      </c>
      <c r="AG1" s="7" t="s">
        <v>53</v>
      </c>
      <c r="AH1" s="7" t="s">
        <v>105</v>
      </c>
      <c r="AI1" s="7" t="s">
        <v>52</v>
      </c>
      <c r="AJ1" s="7" t="s">
        <v>106</v>
      </c>
      <c r="AK1" s="7" t="s">
        <v>96</v>
      </c>
      <c r="AL1" s="7" t="s">
        <v>79</v>
      </c>
      <c r="AM1" s="7" t="s">
        <v>78</v>
      </c>
      <c r="AN1" s="7" t="s">
        <v>73</v>
      </c>
      <c r="AO1" s="7" t="s">
        <v>74</v>
      </c>
      <c r="AP1" s="7" t="s">
        <v>75</v>
      </c>
      <c r="AQ1" s="7" t="s">
        <v>76</v>
      </c>
    </row>
    <row r="2" spans="1:43" x14ac:dyDescent="0.15">
      <c r="A2" s="1">
        <v>43466</v>
      </c>
      <c r="B2" s="2">
        <v>0.65517000000000003</v>
      </c>
      <c r="C2" s="2">
        <v>0.16594999999999999</v>
      </c>
      <c r="D2" s="2">
        <v>0.97075</v>
      </c>
      <c r="E2" s="2">
        <v>0.34611999999999998</v>
      </c>
      <c r="F2" s="2">
        <v>-15.78947</v>
      </c>
      <c r="G2" s="2">
        <v>3.8666666666666667</v>
      </c>
      <c r="H2" s="2">
        <v>-0.47505999999999998</v>
      </c>
      <c r="I2" s="8">
        <v>607.97500000000002</v>
      </c>
      <c r="J2">
        <v>1.6562379161294154</v>
      </c>
      <c r="K2">
        <v>1.8736988560674854</v>
      </c>
      <c r="L2">
        <v>0.93981869985141309</v>
      </c>
      <c r="M2" s="2">
        <v>0.66715999999999998</v>
      </c>
      <c r="N2">
        <v>0.27298695677910106</v>
      </c>
      <c r="O2">
        <v>31.603538264535803</v>
      </c>
      <c r="Q2">
        <f>(O2 - AVERAGE(O2:O15)) / STDEV(O2:O15)</f>
        <v>-2.6938218325567448E-2</v>
      </c>
      <c r="S2">
        <v>20.770322343407255</v>
      </c>
      <c r="U2">
        <v>44.711117298300678</v>
      </c>
      <c r="W2">
        <v>29.329175151899477</v>
      </c>
      <c r="Y2">
        <v>10505586</v>
      </c>
      <c r="AA2" s="7">
        <f>( Y2- AVERAGE(Y2:Y15)) / STDEV(Y2:Y15)</f>
        <v>-0.95178334261347042</v>
      </c>
      <c r="AB2" s="7"/>
      <c r="AC2">
        <v>5559897</v>
      </c>
      <c r="AE2">
        <v>2501142</v>
      </c>
      <c r="AG2">
        <v>1750380</v>
      </c>
      <c r="AI2">
        <v>694167</v>
      </c>
      <c r="AK2">
        <v>-0.13179672832209643</v>
      </c>
      <c r="AL2">
        <v>-8.1441661696981971E-2</v>
      </c>
      <c r="AM2" s="7">
        <v>-1.7820800000000001</v>
      </c>
      <c r="AN2">
        <v>1</v>
      </c>
      <c r="AO2">
        <v>0</v>
      </c>
      <c r="AP2">
        <v>0</v>
      </c>
      <c r="AQ2">
        <v>0</v>
      </c>
    </row>
    <row r="3" spans="1:43" x14ac:dyDescent="0.15">
      <c r="A3" s="1">
        <v>43556</v>
      </c>
      <c r="B3" s="2">
        <v>0.43828</v>
      </c>
      <c r="C3" s="2">
        <v>-0.48365000000000002</v>
      </c>
      <c r="D3" s="2">
        <v>0.32656000000000002</v>
      </c>
      <c r="E3" s="2">
        <v>1.33423</v>
      </c>
      <c r="F3" s="2">
        <v>12.5</v>
      </c>
      <c r="G3" s="2">
        <v>3.6333333333333333</v>
      </c>
      <c r="H3" s="2">
        <v>0.60992000000000002</v>
      </c>
      <c r="I3" s="8">
        <v>653.44200000000001</v>
      </c>
      <c r="J3">
        <v>1.9438868748743436</v>
      </c>
      <c r="K3">
        <v>1.7290286863258526</v>
      </c>
      <c r="L3">
        <v>0.77494058535693722</v>
      </c>
      <c r="M3" s="2">
        <v>0.66274</v>
      </c>
      <c r="N3">
        <v>-0.36317881925899315</v>
      </c>
      <c r="O3">
        <v>30.536548045669949</v>
      </c>
      <c r="P3">
        <f>(O3-O2)/O2</f>
        <v>-3.3761732940617815E-2</v>
      </c>
      <c r="Q3">
        <f>(O3 - AVERAGE(O2:O15)) / STDEV(O2:O15)</f>
        <v>-0.87102756169739781</v>
      </c>
      <c r="R3">
        <f>(Q3-Q2)/Q2</f>
        <v>31.334267662783517</v>
      </c>
      <c r="S3">
        <v>20.486283320147521</v>
      </c>
      <c r="T3">
        <f>(S3-S2)/S2</f>
        <v>-1.3675234238716135E-2</v>
      </c>
      <c r="U3">
        <v>43.629878004430772</v>
      </c>
      <c r="V3">
        <f>(U3-U2)/U2</f>
        <v>-2.4182784041297051E-2</v>
      </c>
      <c r="W3">
        <v>27.493482812431562</v>
      </c>
      <c r="X3">
        <f>(W3-W2)/W2</f>
        <v>-6.258929308310357E-2</v>
      </c>
      <c r="Y3">
        <v>10917265</v>
      </c>
      <c r="Z3">
        <f>(Y3-Y2)/Y2</f>
        <v>3.9186676497627075E-2</v>
      </c>
      <c r="AA3" s="7">
        <f>( Y3- AVERAGE(Y2:Y15)) / STDEV(Y2:Y15)</f>
        <v>-0.62945267253550419</v>
      </c>
      <c r="AB3" s="7">
        <f>(AA3-AA2)/AA2</f>
        <v>-0.33865970924946964</v>
      </c>
      <c r="AC3">
        <v>5834606</v>
      </c>
      <c r="AD3">
        <f>(AC3-AC2)/AC2</f>
        <v>4.9409008835955052E-2</v>
      </c>
      <c r="AE3">
        <v>2606152</v>
      </c>
      <c r="AF3">
        <f>(AE3-AE2)/AE2</f>
        <v>4.1984821333614808E-2</v>
      </c>
      <c r="AG3">
        <v>1709265</v>
      </c>
      <c r="AH3">
        <f>(AG3-AG2)/AG2</f>
        <v>-2.3489185205498236E-2</v>
      </c>
      <c r="AI3">
        <v>767242</v>
      </c>
      <c r="AJ3">
        <f>(AI3-AI2)/AI2</f>
        <v>0.10527005749336975</v>
      </c>
      <c r="AK3">
        <v>-8.1004695163624296E-2</v>
      </c>
      <c r="AL3">
        <v>-0.78148116567263859</v>
      </c>
      <c r="AM3" s="7">
        <v>-0.36427999999999999</v>
      </c>
      <c r="AN3">
        <v>0</v>
      </c>
      <c r="AO3">
        <v>1</v>
      </c>
      <c r="AP3">
        <v>0</v>
      </c>
      <c r="AQ3">
        <v>0</v>
      </c>
    </row>
    <row r="4" spans="1:43" x14ac:dyDescent="0.15">
      <c r="A4" s="1">
        <v>43647</v>
      </c>
      <c r="B4" s="2">
        <v>0.58352000000000004</v>
      </c>
      <c r="C4" s="2">
        <v>-0.29887000000000002</v>
      </c>
      <c r="D4" s="2">
        <v>0.22549</v>
      </c>
      <c r="E4" s="2">
        <v>1.2620199999999999</v>
      </c>
      <c r="F4" s="2">
        <v>-16.66667</v>
      </c>
      <c r="G4" s="2">
        <v>3.6</v>
      </c>
      <c r="H4" s="2">
        <v>-1.0279400000000001</v>
      </c>
      <c r="I4" s="8">
        <v>718.75599999999997</v>
      </c>
      <c r="J4">
        <v>1.7023068543265605</v>
      </c>
      <c r="K4">
        <v>1.6318809216905408</v>
      </c>
      <c r="L4">
        <v>0.82496613633492188</v>
      </c>
      <c r="M4" s="2">
        <v>0.87783</v>
      </c>
      <c r="N4">
        <v>-0.20359716023393981</v>
      </c>
      <c r="O4">
        <v>30.32317525290286</v>
      </c>
      <c r="P4">
        <f t="shared" ref="P4:P15" si="0">(O4-O3)/O3</f>
        <v>-6.9874562261579868E-3</v>
      </c>
      <c r="Q4">
        <f>(O4 - AVERAGE(O2:O15)) / STDEV(O2:O15)</f>
        <v>-1.0398254544574901</v>
      </c>
      <c r="R4">
        <f>(Q4-Q3)/Q3</f>
        <v>0.19379167799369137</v>
      </c>
      <c r="S4">
        <v>21.087226346714477</v>
      </c>
      <c r="T4">
        <f t="shared" ref="T4:T15" si="1">(S4-S3)/S3</f>
        <v>2.9333921491554789E-2</v>
      </c>
      <c r="U4">
        <v>42.078072129206539</v>
      </c>
      <c r="V4">
        <f t="shared" ref="V4:V15" si="2">(U4-U3)/U3</f>
        <v>-3.5567504338807482E-2</v>
      </c>
      <c r="W4">
        <v>27.804227282787561</v>
      </c>
      <c r="X4">
        <f t="shared" ref="X4:X15" si="3">(W4-W3)/W3</f>
        <v>1.1302477480790165E-2</v>
      </c>
      <c r="Y4">
        <v>11525673</v>
      </c>
      <c r="Z4">
        <f t="shared" ref="Z4:Z15" si="4">(Y4-Y3)/Y3</f>
        <v>5.5728976075967745E-2</v>
      </c>
      <c r="AA4" s="7">
        <f>( Y4- AVERAGE(Y2:Y15)) / STDEV(Y2:Y15)</f>
        <v>-0.15308987938648441</v>
      </c>
      <c r="AB4" s="7">
        <f t="shared" ref="AB4:AB15" si="5">(AA4-AA3)/AA3</f>
        <v>-0.75678889602641342</v>
      </c>
      <c r="AC4">
        <v>6189487</v>
      </c>
      <c r="AD4">
        <f t="shared" ref="AD4:AD15" si="6">(AC4-AC3)/AC3</f>
        <v>6.0823472913166719E-2</v>
      </c>
      <c r="AE4">
        <v>2732190</v>
      </c>
      <c r="AF4">
        <f t="shared" ref="AF4:AF15" si="7">(AE4-AE3)/AE3</f>
        <v>4.8361722570287535E-2</v>
      </c>
      <c r="AG4">
        <v>1833369</v>
      </c>
      <c r="AH4">
        <f t="shared" ref="AH4:AH15" si="8">(AG4-AG3)/AG3</f>
        <v>7.260664671657116E-2</v>
      </c>
      <c r="AI4">
        <v>770627</v>
      </c>
      <c r="AJ4">
        <f t="shared" ref="AJ4:AJ15" si="9">(AI4-AI3)/AI3</f>
        <v>4.4119065431767295E-3</v>
      </c>
      <c r="AK4">
        <v>-1.1538015364756404E-2</v>
      </c>
      <c r="AL4">
        <v>-0.65620304817090003</v>
      </c>
      <c r="AM4" s="7">
        <v>-1.00186</v>
      </c>
      <c r="AN4">
        <v>0</v>
      </c>
      <c r="AO4">
        <v>0</v>
      </c>
      <c r="AP4">
        <v>1</v>
      </c>
      <c r="AQ4">
        <v>0</v>
      </c>
    </row>
    <row r="5" spans="1:43" x14ac:dyDescent="0.15">
      <c r="A5" s="1">
        <v>43739</v>
      </c>
      <c r="B5" s="2">
        <v>0.63078999999999996</v>
      </c>
      <c r="C5" s="2">
        <v>0.16647999999999999</v>
      </c>
      <c r="D5" s="2">
        <v>0.42481999999999998</v>
      </c>
      <c r="E5" s="2">
        <v>1.0350600000000001</v>
      </c>
      <c r="F5" s="2">
        <v>-13.33333</v>
      </c>
      <c r="G5" s="2">
        <v>3.6</v>
      </c>
      <c r="H5" s="2">
        <v>-0.34621000000000002</v>
      </c>
      <c r="I5" s="8">
        <v>778.73699999999997</v>
      </c>
      <c r="J5">
        <v>1.7085620147393188</v>
      </c>
      <c r="K5">
        <v>1.6786218533114077</v>
      </c>
      <c r="L5">
        <v>0.82617495856904666</v>
      </c>
      <c r="M5" s="2">
        <v>0.72516000000000003</v>
      </c>
      <c r="N5">
        <v>9.1666560709322553E-2</v>
      </c>
      <c r="O5">
        <v>30.684457739010085</v>
      </c>
      <c r="P5">
        <f t="shared" si="0"/>
        <v>1.1914401545815653E-2</v>
      </c>
      <c r="Q5">
        <f>(O5 - AVERAGE(O2:O15)) / STDEV(O2:O15)</f>
        <v>-0.75401712081209049</v>
      </c>
      <c r="R5">
        <f t="shared" ref="R5:R15" si="10">(Q5-Q4)/Q4</f>
        <v>-0.27486183610932552</v>
      </c>
      <c r="S5">
        <v>21.624188471705974</v>
      </c>
      <c r="T5">
        <f t="shared" si="1"/>
        <v>2.5463857415992462E-2</v>
      </c>
      <c r="U5">
        <v>42.805830589850899</v>
      </c>
      <c r="V5">
        <f t="shared" si="2"/>
        <v>1.7295432604651578E-2</v>
      </c>
      <c r="W5">
        <v>27.623354155473379</v>
      </c>
      <c r="X5">
        <f t="shared" si="3"/>
        <v>-6.5052384112164619E-3</v>
      </c>
      <c r="Y5">
        <v>10728626</v>
      </c>
      <c r="Z5">
        <f t="shared" si="4"/>
        <v>-6.9154052869624186E-2</v>
      </c>
      <c r="AA5" s="7">
        <f>( Y5- AVERAGE(Y2:Y15)) / STDEV(Y2:Y15)</f>
        <v>-0.77715060046682316</v>
      </c>
      <c r="AB5" s="7">
        <f t="shared" si="5"/>
        <v>4.0764335538135787</v>
      </c>
      <c r="AC5">
        <v>5661410</v>
      </c>
      <c r="AD5">
        <f t="shared" si="6"/>
        <v>-8.5318379374574982E-2</v>
      </c>
      <c r="AE5">
        <v>2569610</v>
      </c>
      <c r="AF5">
        <f t="shared" si="7"/>
        <v>-5.9505378469286545E-2</v>
      </c>
      <c r="AG5">
        <v>1742351</v>
      </c>
      <c r="AH5">
        <f t="shared" si="8"/>
        <v>-4.9645215993070681E-2</v>
      </c>
      <c r="AI5">
        <v>755255</v>
      </c>
      <c r="AJ5">
        <f t="shared" si="9"/>
        <v>-1.994739348608341E-2</v>
      </c>
      <c r="AK5">
        <v>1.1431785216313717E-2</v>
      </c>
      <c r="AL5">
        <v>-0.36731546658960973</v>
      </c>
      <c r="AM5" s="7">
        <v>0.82750000000000001</v>
      </c>
      <c r="AN5">
        <v>0</v>
      </c>
      <c r="AO5">
        <v>0</v>
      </c>
      <c r="AP5">
        <v>0</v>
      </c>
      <c r="AQ5">
        <v>1</v>
      </c>
    </row>
    <row r="6" spans="1:43" x14ac:dyDescent="0.15">
      <c r="A6" s="1">
        <v>43831</v>
      </c>
      <c r="B6" s="2">
        <v>0.58126999999999995</v>
      </c>
      <c r="C6" s="2">
        <v>0.24792</v>
      </c>
      <c r="D6" s="2">
        <v>0.86260000000000003</v>
      </c>
      <c r="E6" s="2">
        <v>-1.32829</v>
      </c>
      <c r="F6" s="2">
        <v>30.76923</v>
      </c>
      <c r="G6" s="2">
        <v>3.8333333333333335</v>
      </c>
      <c r="H6" s="2">
        <v>-0.90861000000000003</v>
      </c>
      <c r="I6" s="8">
        <v>323.20400000000001</v>
      </c>
      <c r="J6">
        <v>1.4767156328715467</v>
      </c>
      <c r="K6">
        <v>1.5411520487295867</v>
      </c>
      <c r="L6">
        <v>1.0455574273615973</v>
      </c>
      <c r="M6" s="2">
        <v>1.0079199999999999</v>
      </c>
      <c r="N6">
        <v>1.2857818495373368</v>
      </c>
      <c r="O6">
        <v>30.941394205325135</v>
      </c>
      <c r="P6">
        <f t="shared" si="0"/>
        <v>8.3735051960328113E-3</v>
      </c>
      <c r="Q6">
        <f>(O6 - AVERAGE(O2:O15)) / STDEV(O2:O15)</f>
        <v>-0.55075627614317069</v>
      </c>
      <c r="R6">
        <f t="shared" si="10"/>
        <v>-0.26957059602307715</v>
      </c>
      <c r="S6">
        <v>21.076679826358518</v>
      </c>
      <c r="T6">
        <f t="shared" si="1"/>
        <v>-2.5319269024307669E-2</v>
      </c>
      <c r="U6">
        <v>43.69699340787966</v>
      </c>
      <c r="V6">
        <f t="shared" si="2"/>
        <v>2.0818725060320453E-2</v>
      </c>
      <c r="W6">
        <v>28.050509381737228</v>
      </c>
      <c r="X6">
        <f t="shared" si="3"/>
        <v>1.5463553913825178E-2</v>
      </c>
      <c r="Y6">
        <v>9709375</v>
      </c>
      <c r="Z6">
        <f t="shared" si="4"/>
        <v>-9.5002938866542652E-2</v>
      </c>
      <c r="AA6" s="7">
        <f>( Y6- AVERAGE(Y2:Y15)) / STDEV(Y2:Y15)</f>
        <v>-1.5751895040971693</v>
      </c>
      <c r="AB6" s="7">
        <f t="shared" si="5"/>
        <v>1.0268780634679759</v>
      </c>
      <c r="AC6">
        <v>4853215</v>
      </c>
      <c r="AD6">
        <f t="shared" si="6"/>
        <v>-0.14275507338277921</v>
      </c>
      <c r="AE6">
        <v>2411343</v>
      </c>
      <c r="AF6">
        <f t="shared" si="7"/>
        <v>-6.1591836893536374E-2</v>
      </c>
      <c r="AG6">
        <v>1671730</v>
      </c>
      <c r="AH6">
        <f t="shared" si="8"/>
        <v>-4.0532016797993058E-2</v>
      </c>
      <c r="AI6">
        <v>773087</v>
      </c>
      <c r="AJ6">
        <f t="shared" si="9"/>
        <v>2.3610568615897942E-2</v>
      </c>
      <c r="AK6">
        <v>0.10573872751018421</v>
      </c>
      <c r="AL6">
        <v>1.0127948927582358</v>
      </c>
      <c r="AM6" s="7">
        <v>-0.43354999999999999</v>
      </c>
      <c r="AN6">
        <v>1</v>
      </c>
      <c r="AO6">
        <v>0</v>
      </c>
      <c r="AP6">
        <v>0</v>
      </c>
      <c r="AQ6">
        <v>0</v>
      </c>
    </row>
    <row r="7" spans="1:43" x14ac:dyDescent="0.15">
      <c r="A7" s="1">
        <v>43922</v>
      </c>
      <c r="B7" s="2">
        <v>-0.50826000000000005</v>
      </c>
      <c r="C7" s="2">
        <v>-0.13486000000000001</v>
      </c>
      <c r="D7" s="2">
        <v>2.4597699999999998</v>
      </c>
      <c r="E7" s="2">
        <v>-9.0111799999999995</v>
      </c>
      <c r="F7" s="2">
        <v>-147.05882</v>
      </c>
      <c r="G7" s="2">
        <v>13</v>
      </c>
      <c r="H7" s="2">
        <v>-3.5059300000000002</v>
      </c>
      <c r="I7" s="8">
        <v>-1613.124</v>
      </c>
      <c r="J7">
        <v>8.1204360100080961E-2</v>
      </c>
      <c r="K7">
        <v>1.1841864133791173</v>
      </c>
      <c r="L7">
        <v>3.7231597814697923</v>
      </c>
      <c r="M7" s="2">
        <v>0.35637999999999997</v>
      </c>
      <c r="N7">
        <v>2.6539302271590191</v>
      </c>
      <c r="O7">
        <v>30.136573596202584</v>
      </c>
      <c r="P7">
        <f t="shared" si="0"/>
        <v>-2.6011129420407248E-2</v>
      </c>
      <c r="Q7">
        <f>(O7 - AVERAGE(O2:O15)) / STDEV(O2:O15)</f>
        <v>-1.1874448675423199</v>
      </c>
      <c r="R7">
        <f t="shared" si="10"/>
        <v>1.1560260299850678</v>
      </c>
      <c r="S7">
        <v>22.893568605420445</v>
      </c>
      <c r="T7">
        <f t="shared" si="1"/>
        <v>8.620374717604827E-2</v>
      </c>
      <c r="U7">
        <v>40.699691312627436</v>
      </c>
      <c r="V7">
        <f t="shared" si="2"/>
        <v>-6.8592867872500699E-2</v>
      </c>
      <c r="W7">
        <v>26.816460870559876</v>
      </c>
      <c r="X7">
        <f t="shared" si="3"/>
        <v>-4.3993800411367974E-2</v>
      </c>
      <c r="Y7">
        <v>9473166</v>
      </c>
      <c r="Z7">
        <f t="shared" si="4"/>
        <v>-2.432793047956228E-2</v>
      </c>
      <c r="AA7" s="7">
        <f>( Y7- AVERAGE(Y2:Y15)) / STDEV(Y2:Y15)</f>
        <v>-1.7601331258229467</v>
      </c>
      <c r="AB7" s="7">
        <f t="shared" si="5"/>
        <v>0.11741039490469377</v>
      </c>
      <c r="AC7">
        <v>5074160</v>
      </c>
      <c r="AD7">
        <f t="shared" si="6"/>
        <v>4.5525491864671148E-2</v>
      </c>
      <c r="AE7">
        <v>2228397</v>
      </c>
      <c r="AF7">
        <f t="shared" si="7"/>
        <v>-7.586892449560266E-2</v>
      </c>
      <c r="AG7">
        <v>1515887</v>
      </c>
      <c r="AH7">
        <f t="shared" si="8"/>
        <v>-9.3222589772271838E-2</v>
      </c>
      <c r="AI7">
        <v>654722</v>
      </c>
      <c r="AJ7">
        <f t="shared" si="9"/>
        <v>-0.15310695950132391</v>
      </c>
      <c r="AK7">
        <v>2.9482191961128552</v>
      </c>
      <c r="AL7">
        <v>3.0171090464180121</v>
      </c>
      <c r="AM7" s="7">
        <v>-4.11585</v>
      </c>
      <c r="AN7">
        <v>0</v>
      </c>
      <c r="AO7">
        <v>1</v>
      </c>
      <c r="AP7">
        <v>0</v>
      </c>
      <c r="AQ7">
        <v>0</v>
      </c>
    </row>
    <row r="8" spans="1:43" x14ac:dyDescent="0.15">
      <c r="A8" s="1">
        <v>44013</v>
      </c>
      <c r="B8" s="2">
        <v>0.94932000000000005</v>
      </c>
      <c r="C8" s="2">
        <v>0.19306000000000001</v>
      </c>
      <c r="D8" s="2">
        <v>0.26573000000000002</v>
      </c>
      <c r="E8" s="2">
        <v>9.7747700000000002</v>
      </c>
      <c r="F8" s="2">
        <v>-487.5</v>
      </c>
      <c r="G8" s="2">
        <v>8.8000000000000007</v>
      </c>
      <c r="H8" s="2">
        <v>3.0463900000000002</v>
      </c>
      <c r="I8" s="8">
        <v>-239.893</v>
      </c>
      <c r="J8">
        <v>1.6105125356818573</v>
      </c>
      <c r="K8">
        <v>1.3462851647072129</v>
      </c>
      <c r="L8">
        <v>2.0908826118052661</v>
      </c>
      <c r="M8" s="2">
        <v>0.56818000000000002</v>
      </c>
      <c r="N8">
        <v>1.6582245166035097</v>
      </c>
      <c r="O8">
        <v>30.961791302845544</v>
      </c>
      <c r="P8">
        <f t="shared" si="0"/>
        <v>2.7382598887981835E-2</v>
      </c>
      <c r="Q8">
        <f>(O8 -AVERAGE(O2:O15)) / STDEV(O2:O15)</f>
        <v>-0.53462025882241826</v>
      </c>
      <c r="R8">
        <f t="shared" si="10"/>
        <v>-0.54977256339577829</v>
      </c>
      <c r="S8">
        <v>23.649886611149157</v>
      </c>
      <c r="T8">
        <f t="shared" si="1"/>
        <v>3.3036265283239448E-2</v>
      </c>
      <c r="U8">
        <v>41.046106029673787</v>
      </c>
      <c r="V8">
        <f t="shared" si="2"/>
        <v>8.5114826642154976E-3</v>
      </c>
      <c r="W8">
        <v>28.189381267713696</v>
      </c>
      <c r="X8">
        <f t="shared" si="3"/>
        <v>5.119692728211811E-2</v>
      </c>
      <c r="Y8">
        <v>11776703</v>
      </c>
      <c r="Z8">
        <f t="shared" si="4"/>
        <v>0.24316442887203707</v>
      </c>
      <c r="AA8" s="7">
        <f>( Y8- AVERAGE(Y2:Y15)) / STDEV(Y2:Y15)</f>
        <v>4.3458081791209559E-2</v>
      </c>
      <c r="AB8" s="7">
        <f t="shared" si="5"/>
        <v>-1.0246902243663478</v>
      </c>
      <c r="AC8">
        <v>6501975</v>
      </c>
      <c r="AD8">
        <f t="shared" si="6"/>
        <v>0.28138943194538601</v>
      </c>
      <c r="AE8">
        <v>2741613</v>
      </c>
      <c r="AF8">
        <f t="shared" si="7"/>
        <v>0.23030725674105645</v>
      </c>
      <c r="AG8">
        <v>1795343</v>
      </c>
      <c r="AH8">
        <f t="shared" si="8"/>
        <v>0.18435147210840913</v>
      </c>
      <c r="AI8">
        <v>737772</v>
      </c>
      <c r="AJ8">
        <f t="shared" si="9"/>
        <v>0.12684773079261122</v>
      </c>
      <c r="AK8">
        <v>1.2659164754703442</v>
      </c>
      <c r="AL8">
        <v>1.8618216768374496</v>
      </c>
      <c r="AM8" s="7">
        <v>4.0743299999999998</v>
      </c>
      <c r="AN8">
        <v>0</v>
      </c>
      <c r="AO8">
        <v>0</v>
      </c>
      <c r="AP8">
        <v>1</v>
      </c>
      <c r="AQ8">
        <v>0</v>
      </c>
    </row>
    <row r="9" spans="1:43" x14ac:dyDescent="0.15">
      <c r="A9" s="1">
        <v>44105</v>
      </c>
      <c r="B9" s="2">
        <v>0.61192999999999997</v>
      </c>
      <c r="C9" s="2">
        <v>1.68923</v>
      </c>
      <c r="D9" s="2">
        <v>0.22488</v>
      </c>
      <c r="E9" s="2">
        <v>1.8714</v>
      </c>
      <c r="F9" s="2">
        <v>-41.935479999999998</v>
      </c>
      <c r="G9" s="2">
        <v>6.7333333333333334</v>
      </c>
      <c r="H9" s="2">
        <v>0.70518000000000003</v>
      </c>
      <c r="I9" s="8">
        <v>-66.191000000000003</v>
      </c>
      <c r="J9">
        <v>1.4888628113434994</v>
      </c>
      <c r="K9">
        <v>1.3771135836880557</v>
      </c>
      <c r="L9">
        <v>1.5850844942255338</v>
      </c>
      <c r="M9" s="2">
        <v>0.84745999999999999</v>
      </c>
      <c r="N9">
        <v>0.82755771451766058</v>
      </c>
      <c r="O9">
        <v>31.287494646812377</v>
      </c>
      <c r="P9">
        <f t="shared" si="0"/>
        <v>1.0519525203856628E-2</v>
      </c>
      <c r="Q9">
        <f>(O9 - AVERAGE(O2:O15)) / STDEV(O2:O15)</f>
        <v>-0.27695836381910754</v>
      </c>
      <c r="R9">
        <f t="shared" si="10"/>
        <v>-0.48195310737166958</v>
      </c>
      <c r="S9">
        <v>24.176319887897591</v>
      </c>
      <c r="T9">
        <f t="shared" si="1"/>
        <v>2.2259441890950155E-2</v>
      </c>
      <c r="U9">
        <v>40.290061415103374</v>
      </c>
      <c r="V9">
        <f t="shared" si="2"/>
        <v>-1.8419399248831059E-2</v>
      </c>
      <c r="W9">
        <v>29.396102637436169</v>
      </c>
      <c r="X9">
        <f t="shared" si="3"/>
        <v>4.280765719056679E-2</v>
      </c>
      <c r="Y9">
        <v>12529969</v>
      </c>
      <c r="Z9">
        <f t="shared" si="4"/>
        <v>6.3962384039064249E-2</v>
      </c>
      <c r="AA9" s="7">
        <f>( Y9- AVERAGE(Y2:Y15)) / STDEV(Y2:Y15)</f>
        <v>0.63323976734463672</v>
      </c>
      <c r="AB9" s="7">
        <f t="shared" si="5"/>
        <v>13.571277452764255</v>
      </c>
      <c r="AC9">
        <v>6679029</v>
      </c>
      <c r="AD9">
        <f t="shared" si="6"/>
        <v>2.723080294833493E-2</v>
      </c>
      <c r="AE9">
        <v>3017881</v>
      </c>
      <c r="AF9">
        <f t="shared" si="7"/>
        <v>0.10076841625714497</v>
      </c>
      <c r="AG9">
        <v>2009293</v>
      </c>
      <c r="AH9">
        <f t="shared" si="8"/>
        <v>0.11916942890578569</v>
      </c>
      <c r="AI9">
        <v>823766</v>
      </c>
      <c r="AJ9">
        <f t="shared" si="9"/>
        <v>0.11655904534192135</v>
      </c>
      <c r="AK9">
        <v>0.75890953565648711</v>
      </c>
      <c r="AL9">
        <v>0.73589115380833803</v>
      </c>
      <c r="AM9" s="7">
        <v>1.05139</v>
      </c>
      <c r="AN9">
        <v>0</v>
      </c>
      <c r="AO9">
        <v>0</v>
      </c>
      <c r="AP9">
        <v>0</v>
      </c>
      <c r="AQ9">
        <v>1</v>
      </c>
    </row>
    <row r="10" spans="1:43" x14ac:dyDescent="0.15">
      <c r="A10" s="1">
        <v>44197</v>
      </c>
      <c r="B10" s="2">
        <v>0.38401999999999997</v>
      </c>
      <c r="C10" s="2">
        <v>1.2710900000000001</v>
      </c>
      <c r="D10" s="2">
        <v>0.64197000000000004</v>
      </c>
      <c r="E10" s="2">
        <v>3.3340800000000002</v>
      </c>
      <c r="F10" s="2">
        <v>100</v>
      </c>
      <c r="G10" s="2">
        <v>6.2333333333333334</v>
      </c>
      <c r="H10" s="2">
        <v>3.5281400000000001</v>
      </c>
      <c r="I10" s="8">
        <v>755.12800000000004</v>
      </c>
      <c r="J10">
        <v>1.54513912491213</v>
      </c>
      <c r="K10">
        <v>1.4348011419799915</v>
      </c>
      <c r="L10">
        <v>1.3718374667935642</v>
      </c>
      <c r="M10" s="2">
        <v>1.19048</v>
      </c>
      <c r="N10">
        <v>1.811035695277539</v>
      </c>
      <c r="O10">
        <v>32.339079915867465</v>
      </c>
      <c r="P10">
        <f t="shared" si="0"/>
        <v>3.3610401885029999E-2</v>
      </c>
      <c r="Q10">
        <f>(O10 - AVERAGE(O2:O15)) / STDEV(O2:O15)</f>
        <v>0.55494421931768845</v>
      </c>
      <c r="R10">
        <f t="shared" si="10"/>
        <v>-3.0037099138849062</v>
      </c>
      <c r="S10">
        <v>24.977065596090426</v>
      </c>
      <c r="T10">
        <f t="shared" si="1"/>
        <v>3.312107516387057E-2</v>
      </c>
      <c r="U10">
        <v>40.765340378391762</v>
      </c>
      <c r="V10">
        <f t="shared" si="2"/>
        <v>1.1796431839397072E-2</v>
      </c>
      <c r="W10">
        <v>31.274833773120204</v>
      </c>
      <c r="X10">
        <f t="shared" si="3"/>
        <v>6.3910891823171681E-2</v>
      </c>
      <c r="Y10">
        <v>12127980</v>
      </c>
      <c r="Z10">
        <f t="shared" si="4"/>
        <v>-3.2082202278393507E-2</v>
      </c>
      <c r="AA10" s="7">
        <f>( Y10- AVERAGE(Y2:Y15)) / STDEV(Y2:Y15)</f>
        <v>0.31849603804590743</v>
      </c>
      <c r="AB10" s="7">
        <f t="shared" si="5"/>
        <v>-0.49703721327948758</v>
      </c>
      <c r="AC10">
        <v>6445786</v>
      </c>
      <c r="AD10">
        <f t="shared" si="6"/>
        <v>-3.4921692958662105E-2</v>
      </c>
      <c r="AE10">
        <v>2935189</v>
      </c>
      <c r="AF10">
        <f t="shared" si="7"/>
        <v>-2.7400682796969132E-2</v>
      </c>
      <c r="AG10">
        <v>1995806</v>
      </c>
      <c r="AH10">
        <f t="shared" si="8"/>
        <v>-6.712311245796407E-3</v>
      </c>
      <c r="AI10">
        <v>751199</v>
      </c>
      <c r="AJ10">
        <f t="shared" si="9"/>
        <v>-8.8091763923250049E-2</v>
      </c>
      <c r="AK10">
        <v>0.32628003943196693</v>
      </c>
      <c r="AL10">
        <v>0.52525384574020229</v>
      </c>
      <c r="AM10" s="7">
        <v>4.43675</v>
      </c>
      <c r="AN10">
        <v>1</v>
      </c>
      <c r="AO10">
        <v>0</v>
      </c>
      <c r="AP10">
        <v>0</v>
      </c>
      <c r="AQ10">
        <v>0</v>
      </c>
    </row>
    <row r="11" spans="1:43" x14ac:dyDescent="0.15">
      <c r="A11" s="1">
        <v>44287</v>
      </c>
      <c r="B11" s="2">
        <v>1.7285699999999999</v>
      </c>
      <c r="C11" s="2">
        <v>2.8496999999999999</v>
      </c>
      <c r="D11" s="2">
        <v>1.15402</v>
      </c>
      <c r="E11" s="2">
        <v>4.81785</v>
      </c>
      <c r="F11" s="2">
        <v>66.666669999999996</v>
      </c>
      <c r="G11" s="2">
        <v>5.9333333333333336</v>
      </c>
      <c r="H11" s="2">
        <v>3.5640000000000001</v>
      </c>
      <c r="I11" s="8">
        <v>3024.46</v>
      </c>
      <c r="J11">
        <v>1.8927044291403212</v>
      </c>
      <c r="K11">
        <v>1.5859295327069085</v>
      </c>
      <c r="L11">
        <v>0.94221207801626894</v>
      </c>
      <c r="M11" s="2">
        <v>0.83045000000000002</v>
      </c>
      <c r="N11">
        <v>2.8255212317073366</v>
      </c>
      <c r="O11">
        <v>31.496466010926472</v>
      </c>
      <c r="P11">
        <f t="shared" si="0"/>
        <v>-2.6055593020367813E-2</v>
      </c>
      <c r="Q11">
        <f>(O11 - AVERAGE(O2:O15)) / STDEV(O2:O15)</f>
        <v>-0.11164241396337707</v>
      </c>
      <c r="R11">
        <f t="shared" si="10"/>
        <v>-1.2011777221513236</v>
      </c>
      <c r="S11">
        <v>22.562558030848848</v>
      </c>
      <c r="T11">
        <f t="shared" si="1"/>
        <v>-9.6668984431041924E-2</v>
      </c>
      <c r="U11">
        <v>40.246730031602404</v>
      </c>
      <c r="V11">
        <f t="shared" si="2"/>
        <v>-1.2721845125675816E-2</v>
      </c>
      <c r="W11">
        <v>31.680109970328164</v>
      </c>
      <c r="X11">
        <f t="shared" si="3"/>
        <v>1.2958540408175847E-2</v>
      </c>
      <c r="Y11">
        <v>12940227</v>
      </c>
      <c r="Z11">
        <f t="shared" si="4"/>
        <v>6.6972983134866645E-2</v>
      </c>
      <c r="AA11" s="7">
        <f>( Y11- AVERAGE(Y2:Y15)) / STDEV(Y2:Y15)</f>
        <v>0.9544578427015199</v>
      </c>
      <c r="AB11" s="7">
        <f t="shared" si="5"/>
        <v>1.9967651985797894</v>
      </c>
      <c r="AC11">
        <v>6862252</v>
      </c>
      <c r="AD11">
        <f t="shared" si="6"/>
        <v>6.4610584341459679E-2</v>
      </c>
      <c r="AE11">
        <v>3141585</v>
      </c>
      <c r="AF11">
        <f t="shared" si="7"/>
        <v>7.0317788735239875E-2</v>
      </c>
      <c r="AG11">
        <v>2079836</v>
      </c>
      <c r="AH11">
        <f t="shared" si="8"/>
        <v>4.2103290600389018E-2</v>
      </c>
      <c r="AI11">
        <v>856554</v>
      </c>
      <c r="AJ11">
        <f t="shared" si="9"/>
        <v>0.14024912173738249</v>
      </c>
      <c r="AK11">
        <v>-2.7809477034535233</v>
      </c>
      <c r="AL11">
        <v>0.17159100454831755</v>
      </c>
      <c r="AM11" s="7">
        <v>7.0699300000000003</v>
      </c>
      <c r="AN11">
        <v>0</v>
      </c>
      <c r="AO11">
        <v>1</v>
      </c>
      <c r="AP11">
        <v>0</v>
      </c>
      <c r="AQ11">
        <v>0</v>
      </c>
    </row>
    <row r="12" spans="1:43" x14ac:dyDescent="0.15">
      <c r="A12" s="1">
        <v>44378</v>
      </c>
      <c r="B12" s="2">
        <v>1.2786299999999999</v>
      </c>
      <c r="C12" s="2">
        <v>2.19068</v>
      </c>
      <c r="D12" s="2">
        <v>1.8530500000000001</v>
      </c>
      <c r="E12" s="2">
        <v>2.0953900000000001</v>
      </c>
      <c r="F12" s="2">
        <v>-20</v>
      </c>
      <c r="G12" s="2">
        <v>5.0666666666666664</v>
      </c>
      <c r="H12" s="2">
        <v>1.4318</v>
      </c>
      <c r="I12" s="8">
        <v>1835.8789999999999</v>
      </c>
      <c r="J12">
        <v>2.4065552763272042</v>
      </c>
      <c r="K12">
        <v>1.6159198641212531</v>
      </c>
      <c r="L12">
        <v>0.73965318456786411</v>
      </c>
      <c r="M12" s="2">
        <v>1.5785899999999999</v>
      </c>
      <c r="N12">
        <v>3.1617044536967733</v>
      </c>
      <c r="O12">
        <v>32.007664219389277</v>
      </c>
      <c r="P12">
        <f t="shared" si="0"/>
        <v>1.6230335437806397E-2</v>
      </c>
      <c r="Q12">
        <f>(O12 - AVERAGE(O2:O15)) / STDEV(O2:O15)</f>
        <v>0.29276331767761204</v>
      </c>
      <c r="R12">
        <f t="shared" si="10"/>
        <v>-3.6223305935829146</v>
      </c>
      <c r="S12">
        <v>22.704289063630501</v>
      </c>
      <c r="T12">
        <f t="shared" si="1"/>
        <v>6.2816916675790951E-3</v>
      </c>
      <c r="U12">
        <v>40.953316632035005</v>
      </c>
      <c r="V12">
        <f t="shared" si="2"/>
        <v>1.7556372899805214E-2</v>
      </c>
      <c r="W12">
        <v>32.365386962502321</v>
      </c>
      <c r="X12">
        <f t="shared" si="3"/>
        <v>2.163114309943974E-2</v>
      </c>
      <c r="Y12">
        <v>12809298</v>
      </c>
      <c r="Z12">
        <f t="shared" si="4"/>
        <v>-1.0117983247125418E-2</v>
      </c>
      <c r="AA12" s="7">
        <f>( Y12- AVERAGE(Y2:Y15)) / STDEV(Y2:Y15)</f>
        <v>0.85194488405500635</v>
      </c>
      <c r="AB12" s="7">
        <f t="shared" si="5"/>
        <v>-0.10740438609248415</v>
      </c>
      <c r="AC12">
        <v>6647626</v>
      </c>
      <c r="AD12">
        <f t="shared" si="6"/>
        <v>-3.1276321534096971E-2</v>
      </c>
      <c r="AE12">
        <v>3170375</v>
      </c>
      <c r="AF12">
        <f t="shared" si="7"/>
        <v>9.1641639490893934E-3</v>
      </c>
      <c r="AG12">
        <v>2092090</v>
      </c>
      <c r="AH12">
        <f t="shared" si="8"/>
        <v>5.8918107004590744E-3</v>
      </c>
      <c r="AI12">
        <v>899207</v>
      </c>
      <c r="AJ12">
        <f t="shared" si="9"/>
        <v>4.9796043215022054E-2</v>
      </c>
      <c r="AK12">
        <v>-1.3512294272374019</v>
      </c>
      <c r="AL12">
        <v>1.5034799370932637</v>
      </c>
      <c r="AM12" s="7">
        <v>-1.61459</v>
      </c>
      <c r="AN12">
        <v>0</v>
      </c>
      <c r="AO12">
        <v>0</v>
      </c>
      <c r="AP12">
        <v>1</v>
      </c>
      <c r="AQ12">
        <v>0</v>
      </c>
    </row>
    <row r="13" spans="1:43" x14ac:dyDescent="0.15">
      <c r="A13" s="1">
        <v>44470</v>
      </c>
      <c r="B13" s="2">
        <v>1.5432699999999999</v>
      </c>
      <c r="C13" s="2">
        <v>3.92489</v>
      </c>
      <c r="D13" s="2">
        <v>2.1352699999999998</v>
      </c>
      <c r="E13" s="2">
        <v>2.6594899999999999</v>
      </c>
      <c r="F13" s="2">
        <v>8.3333300000000001</v>
      </c>
      <c r="G13" s="2">
        <v>4.166666666666667</v>
      </c>
      <c r="H13" s="2">
        <v>2.0802399999999999</v>
      </c>
      <c r="I13" s="8">
        <v>2293.5189999999998</v>
      </c>
      <c r="J13">
        <v>2.3181722208964031</v>
      </c>
      <c r="K13">
        <v>1.7100703537761168</v>
      </c>
      <c r="L13">
        <v>0.57537077577912032</v>
      </c>
      <c r="M13" s="2">
        <v>1.2837799999999999</v>
      </c>
      <c r="N13">
        <v>4.1548367845804863</v>
      </c>
      <c r="O13">
        <v>32.340988723136803</v>
      </c>
      <c r="P13">
        <f t="shared" si="0"/>
        <v>1.041389654249149E-2</v>
      </c>
      <c r="Q13">
        <f>(O13 - AVERAGE(O2:O15)) / STDEV(O2:O15)</f>
        <v>0.55645426490771399</v>
      </c>
      <c r="R13">
        <f t="shared" si="10"/>
        <v>0.90069667648894358</v>
      </c>
      <c r="S13">
        <v>23.292650133155337</v>
      </c>
      <c r="T13">
        <f t="shared" si="1"/>
        <v>2.5914093494665686E-2</v>
      </c>
      <c r="U13">
        <v>41.145493752861235</v>
      </c>
      <c r="V13">
        <f t="shared" si="2"/>
        <v>4.6925899201995967E-3</v>
      </c>
      <c r="W13">
        <v>32.584822283393841</v>
      </c>
      <c r="X13">
        <f t="shared" si="3"/>
        <v>6.7799381217271476E-3</v>
      </c>
      <c r="Y13">
        <v>12620189</v>
      </c>
      <c r="Z13">
        <f t="shared" si="4"/>
        <v>-1.4763416387065083E-2</v>
      </c>
      <c r="AA13" s="7">
        <f>( Y13- AVERAGE(Y2:Y15)) / STDEV(Y2:Y15)</f>
        <v>0.70387896209208345</v>
      </c>
      <c r="AB13" s="7">
        <f t="shared" si="5"/>
        <v>-0.17379753635959733</v>
      </c>
      <c r="AC13">
        <v>6215429</v>
      </c>
      <c r="AD13">
        <f t="shared" si="6"/>
        <v>-6.5015240027041232E-2</v>
      </c>
      <c r="AE13">
        <v>3261615</v>
      </c>
      <c r="AF13">
        <f t="shared" si="7"/>
        <v>2.8778929937310255E-2</v>
      </c>
      <c r="AG13">
        <v>2196879</v>
      </c>
      <c r="AH13">
        <f t="shared" si="8"/>
        <v>5.008818932263908E-2</v>
      </c>
      <c r="AI13">
        <v>946266</v>
      </c>
      <c r="AJ13">
        <f t="shared" si="9"/>
        <v>5.233388974952375E-2</v>
      </c>
      <c r="AK13">
        <v>-1.0097137184464136</v>
      </c>
      <c r="AL13">
        <v>3.3272790700628256</v>
      </c>
      <c r="AM13" s="7">
        <v>1.3750599999999999</v>
      </c>
      <c r="AN13">
        <v>0</v>
      </c>
      <c r="AO13">
        <v>0</v>
      </c>
      <c r="AP13">
        <v>0</v>
      </c>
      <c r="AQ13">
        <v>1</v>
      </c>
    </row>
    <row r="14" spans="1:43" x14ac:dyDescent="0.15">
      <c r="A14" s="1">
        <v>44562</v>
      </c>
      <c r="B14" s="2">
        <v>1.63507</v>
      </c>
      <c r="C14" s="2">
        <v>3.3879600000000001</v>
      </c>
      <c r="D14" s="2">
        <v>2.5232399999999999</v>
      </c>
      <c r="E14" s="2">
        <v>1.8688199999999999</v>
      </c>
      <c r="F14" s="2">
        <v>15.38462</v>
      </c>
      <c r="G14" s="2">
        <v>3.8</v>
      </c>
      <c r="H14" s="2">
        <v>4.1969900000000004</v>
      </c>
      <c r="I14" s="8">
        <v>2034.5830000000001</v>
      </c>
      <c r="J14">
        <v>2.6422920475067877</v>
      </c>
      <c r="K14">
        <v>1.888300530496585</v>
      </c>
      <c r="L14">
        <v>0.58504816060715004</v>
      </c>
      <c r="M14" s="2">
        <v>1.2675099999999999</v>
      </c>
      <c r="N14">
        <v>3.0706438356140286</v>
      </c>
      <c r="O14">
        <v>34.168997875420381</v>
      </c>
      <c r="P14">
        <f t="shared" si="0"/>
        <v>5.652298289123784E-2</v>
      </c>
      <c r="Q14">
        <f>(O14 - AVERAGE(O2:O15)) / STDEV(O2:O15)</f>
        <v>2.0025809657399485</v>
      </c>
      <c r="R14">
        <f t="shared" si="10"/>
        <v>2.5988240041112265</v>
      </c>
      <c r="S14">
        <v>26.13598479964838</v>
      </c>
      <c r="T14">
        <f t="shared" si="1"/>
        <v>0.12207003712496284</v>
      </c>
      <c r="U14">
        <v>41.333277854379553</v>
      </c>
      <c r="V14">
        <f t="shared" si="2"/>
        <v>4.5639044374150822E-3</v>
      </c>
      <c r="W14">
        <v>35.037730972233206</v>
      </c>
      <c r="X14">
        <f t="shared" si="3"/>
        <v>7.527764514122999E-2</v>
      </c>
      <c r="Y14">
        <v>12911779</v>
      </c>
      <c r="Z14">
        <f t="shared" si="4"/>
        <v>2.3105042246197739E-2</v>
      </c>
      <c r="AA14" s="7">
        <f>( Y14- AVERAGE(Y2:Y15)) / STDEV(Y2:Y15)</f>
        <v>0.93218402523116561</v>
      </c>
      <c r="AB14" s="7">
        <f t="shared" si="5"/>
        <v>0.32435273027696293</v>
      </c>
      <c r="AC14">
        <v>6645977</v>
      </c>
      <c r="AD14">
        <f t="shared" si="6"/>
        <v>6.9270841964408247E-2</v>
      </c>
      <c r="AE14">
        <v>3259334</v>
      </c>
      <c r="AF14">
        <f t="shared" si="7"/>
        <v>-6.9934679598910351E-4</v>
      </c>
      <c r="AG14">
        <v>2103085</v>
      </c>
      <c r="AH14">
        <f t="shared" si="8"/>
        <v>-4.2694203913825023E-2</v>
      </c>
      <c r="AI14">
        <v>903383</v>
      </c>
      <c r="AJ14">
        <f t="shared" si="9"/>
        <v>-4.5318124079275809E-2</v>
      </c>
      <c r="AK14">
        <v>-0.78678930618641418</v>
      </c>
      <c r="AL14">
        <v>1.2596081403364896</v>
      </c>
      <c r="AM14" s="7">
        <v>0.66884999999999994</v>
      </c>
      <c r="AN14">
        <v>1</v>
      </c>
      <c r="AO14">
        <v>0</v>
      </c>
      <c r="AP14">
        <v>0</v>
      </c>
      <c r="AQ14">
        <v>0</v>
      </c>
    </row>
    <row r="15" spans="1:43" x14ac:dyDescent="0.15">
      <c r="A15" s="1">
        <v>44652</v>
      </c>
      <c r="B15" s="2">
        <v>1.43727</v>
      </c>
      <c r="C15" s="2">
        <v>6.2577999999999996</v>
      </c>
      <c r="D15" s="2">
        <v>3.1306099999999999</v>
      </c>
      <c r="E15" s="2">
        <v>2.2574999999999998</v>
      </c>
      <c r="F15" s="2">
        <v>-21.66667</v>
      </c>
      <c r="G15" s="2">
        <v>3.6333333333333333</v>
      </c>
      <c r="H15" s="2">
        <v>3.42258</v>
      </c>
      <c r="I15" s="8">
        <v>1864.548</v>
      </c>
      <c r="J15">
        <v>3.7514248774649324</v>
      </c>
      <c r="K15">
        <v>2.3276375193522076</v>
      </c>
      <c r="L15">
        <v>0.50570745382851179</v>
      </c>
      <c r="M15" s="2">
        <v>1.4492799999999999</v>
      </c>
      <c r="N15">
        <v>2.8545511276962352</v>
      </c>
      <c r="O15">
        <v>34.098092000506206</v>
      </c>
      <c r="P15">
        <f t="shared" si="0"/>
        <v>-2.0751523112470653E-3</v>
      </c>
      <c r="Q15">
        <f>(O15 - AVERAGE(O2:O15)) / STDEV(O2:O15)</f>
        <v>1.9464877679399455</v>
      </c>
      <c r="R15">
        <f t="shared" si="10"/>
        <v>-2.8010451891655078E-2</v>
      </c>
      <c r="S15">
        <v>25.739796154062088</v>
      </c>
      <c r="T15">
        <f t="shared" si="1"/>
        <v>-1.5158741812232096E-2</v>
      </c>
      <c r="U15">
        <v>40.788209801081187</v>
      </c>
      <c r="V15">
        <f t="shared" si="2"/>
        <v>-1.3187148021956637E-2</v>
      </c>
      <c r="W15">
        <v>35.766270046375354</v>
      </c>
      <c r="X15">
        <f t="shared" si="3"/>
        <v>2.0792986701093818E-2</v>
      </c>
      <c r="Y15">
        <v>13520944</v>
      </c>
      <c r="Z15">
        <f t="shared" si="4"/>
        <v>4.7179013829155535E-2</v>
      </c>
      <c r="AA15" s="7">
        <f>( Y15- AVERAGE(Y2:Y15)) / STDEV(Y2:Y15)</f>
        <v>1.409139523660875</v>
      </c>
      <c r="AB15" s="7">
        <f t="shared" si="5"/>
        <v>0.51165379959330737</v>
      </c>
      <c r="AC15">
        <v>6813231</v>
      </c>
      <c r="AD15">
        <f t="shared" si="6"/>
        <v>2.5166202049751302E-2</v>
      </c>
      <c r="AE15">
        <v>3489326</v>
      </c>
      <c r="AF15">
        <f t="shared" si="7"/>
        <v>7.0564109109407011E-2</v>
      </c>
      <c r="AG15">
        <v>2224705</v>
      </c>
      <c r="AH15">
        <f t="shared" si="8"/>
        <v>5.7829331672281437E-2</v>
      </c>
      <c r="AI15">
        <v>993682</v>
      </c>
      <c r="AJ15">
        <f t="shared" si="9"/>
        <v>9.9956496856814889E-2</v>
      </c>
      <c r="AK15">
        <v>-0.43650462418775715</v>
      </c>
      <c r="AL15">
        <v>2.9029895988898602E-2</v>
      </c>
      <c r="AM15" s="7">
        <v>-0.14141999999999999</v>
      </c>
      <c r="AN15">
        <v>0</v>
      </c>
      <c r="AO15">
        <v>1</v>
      </c>
      <c r="AP15">
        <v>0</v>
      </c>
      <c r="AQ15">
        <v>0</v>
      </c>
    </row>
    <row r="16" spans="1:43" x14ac:dyDescent="0.15">
      <c r="B16" s="8"/>
      <c r="M16" s="2"/>
    </row>
    <row r="17" spans="2:13" x14ac:dyDescent="0.15">
      <c r="B17" s="8"/>
      <c r="M17" s="2"/>
    </row>
    <row r="18" spans="2:13" x14ac:dyDescent="0.15">
      <c r="B18" s="8"/>
      <c r="M18" s="2"/>
    </row>
    <row r="19" spans="2:13" x14ac:dyDescent="0.15">
      <c r="M19" s="2"/>
    </row>
    <row r="20" spans="2:13" x14ac:dyDescent="0.15">
      <c r="M20" s="2"/>
    </row>
    <row r="21" spans="2:13" x14ac:dyDescent="0.15">
      <c r="M21" s="2"/>
    </row>
  </sheetData>
  <hyperlinks>
    <hyperlink ref="M1" r:id="rId1" display="Employment Cost Index" xr:uid="{BE26A314-4BF4-4AC7-84CF-07ED4CE98AB4}"/>
    <hyperlink ref="B1" r:id="rId2" display="CPI, quarterly, annualized" xr:uid="{1357D2AC-E147-4711-B2A7-217F89248670}"/>
    <hyperlink ref="C1" r:id="rId3" xr:uid="{0EB0CB66-4FE2-4659-8342-09FD2109EFFB}"/>
    <hyperlink ref="D1" r:id="rId4" location="0" xr:uid="{00768A1A-4BEF-4C99-90A2-B5534F45B69A}"/>
    <hyperlink ref="J1" r:id="rId5" xr:uid="{250C1F0A-6193-4CA6-AAE3-3670556BA9A0}"/>
    <hyperlink ref="K1" r:id="rId6" xr:uid="{BB3D575C-2BEB-4DB0-83B6-8A3A541B29C7}"/>
    <hyperlink ref="E1" r:id="rId7" xr:uid="{7E3BB0FA-6909-4ADD-9DDE-4349182F567B}"/>
    <hyperlink ref="F1" r:id="rId8" location="0" xr:uid="{10EA7B69-CB83-4FCC-B7D6-0CA68BC7E1CD}"/>
    <hyperlink ref="H1" r:id="rId9" location="0" xr:uid="{28E03EE2-F7AA-4B41-9F97-F6406C337879}"/>
    <hyperlink ref="I1" r:id="rId10" xr:uid="{954F165C-C0EF-CF4D-AE15-2806A70CEB1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D41E-F88E-BD40-BCBC-9027865B4848}">
  <dimension ref="A1:U101"/>
  <sheetViews>
    <sheetView tabSelected="1" workbookViewId="0">
      <selection activeCell="I10" sqref="I10"/>
    </sheetView>
  </sheetViews>
  <sheetFormatPr baseColWidth="10" defaultRowHeight="13" x14ac:dyDescent="0.15"/>
  <sheetData>
    <row r="1" spans="1:21" x14ac:dyDescent="0.15">
      <c r="A1" s="10" t="s">
        <v>0</v>
      </c>
      <c r="B1" s="3" t="s">
        <v>1</v>
      </c>
      <c r="C1" s="3" t="s">
        <v>12</v>
      </c>
      <c r="D1" s="3" t="s">
        <v>14</v>
      </c>
      <c r="E1" s="3" t="s">
        <v>42</v>
      </c>
      <c r="F1" s="3" t="s">
        <v>43</v>
      </c>
      <c r="G1" s="9" t="s">
        <v>65</v>
      </c>
      <c r="H1" s="3" t="s">
        <v>59</v>
      </c>
      <c r="I1" s="3" t="s">
        <v>23</v>
      </c>
      <c r="J1" s="3">
        <v>1</v>
      </c>
      <c r="K1" s="3">
        <v>10</v>
      </c>
      <c r="L1" s="3" t="s">
        <v>4</v>
      </c>
      <c r="M1" s="3" t="s">
        <v>5</v>
      </c>
      <c r="N1" s="7" t="s">
        <v>95</v>
      </c>
      <c r="O1" s="7" t="s">
        <v>96</v>
      </c>
      <c r="P1" s="7" t="s">
        <v>78</v>
      </c>
      <c r="Q1" s="7" t="s">
        <v>73</v>
      </c>
      <c r="R1" s="7" t="s">
        <v>74</v>
      </c>
      <c r="S1" s="7" t="s">
        <v>75</v>
      </c>
      <c r="T1" s="7" t="s">
        <v>76</v>
      </c>
      <c r="U1" s="7" t="s">
        <v>107</v>
      </c>
    </row>
    <row r="2" spans="1:21" x14ac:dyDescent="0.15">
      <c r="A2" s="11">
        <v>32874</v>
      </c>
      <c r="B2" s="2">
        <v>1.27129</v>
      </c>
      <c r="C2" s="2">
        <v>0.61387000000000003</v>
      </c>
      <c r="D2" s="2">
        <v>3.2563</v>
      </c>
      <c r="E2" s="2">
        <v>2.3054299999999999</v>
      </c>
      <c r="F2" s="2">
        <v>27.02703</v>
      </c>
      <c r="G2" s="2">
        <v>5.3</v>
      </c>
      <c r="H2" s="2">
        <v>1.4619899999999999</v>
      </c>
      <c r="I2" s="8">
        <v>258.42</v>
      </c>
      <c r="J2">
        <v>4.1920147333333331E-2</v>
      </c>
      <c r="K2">
        <v>3.9067440000000002E-2</v>
      </c>
      <c r="L2">
        <f t="shared" ref="L2:M65" si="0">J2*100</f>
        <v>4.1920147333333331</v>
      </c>
      <c r="M2">
        <f t="shared" si="0"/>
        <v>3.9067440000000002</v>
      </c>
      <c r="N2">
        <v>3.8200000000000003</v>
      </c>
      <c r="O2" t="e">
        <f t="shared" ref="O2:O65" si="1">N2-#REF!</f>
        <v>#REF!</v>
      </c>
      <c r="P2" s="2" t="e">
        <f>H2-#REF!</f>
        <v>#REF!</v>
      </c>
      <c r="Q2" s="7">
        <f>IF(MONTH(A2) = 1, 1, 0)</f>
        <v>1</v>
      </c>
      <c r="R2">
        <f>IF(MONTH(A2) = 4, 1, 0)</f>
        <v>0</v>
      </c>
      <c r="S2">
        <f>IF(MONTH(A2) = 7, 1, 0)</f>
        <v>0</v>
      </c>
      <c r="T2">
        <f>IF(MONTH(A2) = 10, 1, 0)</f>
        <v>0</v>
      </c>
      <c r="U2" s="2">
        <v>4.9169099999999997</v>
      </c>
    </row>
    <row r="3" spans="1:21" x14ac:dyDescent="0.15">
      <c r="A3" s="11">
        <v>32964</v>
      </c>
      <c r="B3" s="2">
        <v>1.30555</v>
      </c>
      <c r="C3" s="2">
        <v>-0.15253</v>
      </c>
      <c r="D3" s="2">
        <v>0.35604999999999998</v>
      </c>
      <c r="E3" s="2">
        <v>1.2172499999999999</v>
      </c>
      <c r="F3" s="2">
        <v>-4.2553200000000002</v>
      </c>
      <c r="G3" s="2">
        <v>5.333333333333333</v>
      </c>
      <c r="H3" s="2">
        <v>-1.44092</v>
      </c>
      <c r="I3" s="8">
        <v>232.26400000000001</v>
      </c>
      <c r="J3">
        <v>4.1907233666666675E-2</v>
      </c>
      <c r="K3">
        <v>4.0161228333333333E-2</v>
      </c>
      <c r="L3">
        <f t="shared" si="0"/>
        <v>4.1907233666666679</v>
      </c>
      <c r="M3">
        <f t="shared" si="0"/>
        <v>4.0161228333333332</v>
      </c>
      <c r="N3">
        <v>3.6266666666666669</v>
      </c>
      <c r="O3" t="e">
        <f t="shared" ref="O3:O66" si="2">N3-#REF!</f>
        <v>#REF!</v>
      </c>
      <c r="P3" s="2" t="e">
        <f>H3-#REF!</f>
        <v>#REF!</v>
      </c>
      <c r="Q3" s="7">
        <f>IF(MONTH(A3) = 1, 1, 0)</f>
        <v>0</v>
      </c>
      <c r="R3">
        <f>IF(MONTH(A3) = 4, 1, 0)</f>
        <v>1</v>
      </c>
      <c r="S3">
        <f>IF(MONTH(A3) = 7, 1, 0)</f>
        <v>0</v>
      </c>
      <c r="T3">
        <f>IF(MONTH(A3) = 10, 1, 0)</f>
        <v>0</v>
      </c>
      <c r="U3" s="2">
        <v>-2.2999299999999998</v>
      </c>
    </row>
    <row r="4" spans="1:21" x14ac:dyDescent="0.15">
      <c r="A4" s="11">
        <v>33055</v>
      </c>
      <c r="B4" s="2">
        <v>1.48699</v>
      </c>
      <c r="C4" s="2">
        <v>-9.1660000000000005E-2</v>
      </c>
      <c r="D4" s="2">
        <v>1.06437</v>
      </c>
      <c r="E4" s="2">
        <v>1.6721999999999999</v>
      </c>
      <c r="F4" s="2">
        <v>-8.88889</v>
      </c>
      <c r="G4" s="2">
        <v>5.7</v>
      </c>
      <c r="H4" s="2">
        <v>2.4488300000000001</v>
      </c>
      <c r="I4" s="8">
        <v>201.55500000000001</v>
      </c>
      <c r="J4">
        <v>4.310160833333334E-2</v>
      </c>
      <c r="K4">
        <v>3.9209755333333325E-2</v>
      </c>
      <c r="L4">
        <f t="shared" si="0"/>
        <v>4.3101608333333337</v>
      </c>
      <c r="M4">
        <f t="shared" si="0"/>
        <v>3.9209755333333325</v>
      </c>
      <c r="N4">
        <v>3.4266666666666672</v>
      </c>
      <c r="O4" t="e">
        <f t="shared" ref="O4:O67" si="3">N4-#REF!</f>
        <v>#REF!</v>
      </c>
      <c r="P4" s="2" t="e">
        <f>H4-#REF!</f>
        <v>#REF!</v>
      </c>
      <c r="Q4" s="7">
        <f>IF(MONTH(A4) = 1, 1, 0)</f>
        <v>0</v>
      </c>
      <c r="R4">
        <f>IF(MONTH(A4) = 4, 1, 0)</f>
        <v>0</v>
      </c>
      <c r="S4">
        <f>IF(MONTH(A4) = 7, 1, 0)</f>
        <v>1</v>
      </c>
      <c r="T4">
        <f>IF(MONTH(A4) = 10, 1, 0)</f>
        <v>0</v>
      </c>
      <c r="U4" s="2">
        <v>2.1092300000000002</v>
      </c>
    </row>
    <row r="5" spans="1:21" x14ac:dyDescent="0.15">
      <c r="A5" s="11">
        <v>33147</v>
      </c>
      <c r="B5" s="2">
        <v>1.14774</v>
      </c>
      <c r="C5" s="2">
        <v>0.88685000000000003</v>
      </c>
      <c r="D5" s="2">
        <v>0.75226000000000004</v>
      </c>
      <c r="E5" s="2">
        <v>0.55198999999999998</v>
      </c>
      <c r="F5" s="2">
        <v>-17.073170000000001</v>
      </c>
      <c r="G5" s="2">
        <v>6.1333333333333329</v>
      </c>
      <c r="H5" s="2">
        <v>5.7438500000000001</v>
      </c>
      <c r="I5" s="8">
        <v>153.399</v>
      </c>
      <c r="J5">
        <v>4.9504671333333333E-2</v>
      </c>
      <c r="K5">
        <v>3.9430409E-2</v>
      </c>
      <c r="L5">
        <f t="shared" si="0"/>
        <v>4.9504671333333334</v>
      </c>
      <c r="M5">
        <f t="shared" si="0"/>
        <v>3.9430408999999997</v>
      </c>
      <c r="N5">
        <v>2.9733333333333332</v>
      </c>
      <c r="O5" t="e">
        <f t="shared" si="3"/>
        <v>#REF!</v>
      </c>
      <c r="P5" s="2" t="e">
        <f>H5-H1</f>
        <v>#VALUE!</v>
      </c>
      <c r="Q5" s="7">
        <f>IF(MONTH(A5) = 1, 1, 0)</f>
        <v>0</v>
      </c>
      <c r="R5">
        <f>IF(MONTH(A5) = 4, 1, 0)</f>
        <v>0</v>
      </c>
      <c r="S5">
        <f>IF(MONTH(A5) = 7, 1, 0)</f>
        <v>0</v>
      </c>
      <c r="T5">
        <f>IF(MONTH(A5) = 10, 1, 0)</f>
        <v>1</v>
      </c>
      <c r="U5" s="2">
        <v>2.3084699999999998</v>
      </c>
    </row>
    <row r="6" spans="1:21" x14ac:dyDescent="0.15">
      <c r="A6" s="11">
        <v>33239</v>
      </c>
      <c r="B6" s="2">
        <v>1.44858</v>
      </c>
      <c r="C6" s="2">
        <v>2.4249800000000001</v>
      </c>
      <c r="D6" s="2">
        <v>1.3190599999999999</v>
      </c>
      <c r="E6" s="2">
        <v>0.14563999999999999</v>
      </c>
      <c r="F6" s="2">
        <v>5.8823499999999997</v>
      </c>
      <c r="G6" s="2">
        <v>6.6</v>
      </c>
      <c r="H6" s="2">
        <v>-3.1713900000000002</v>
      </c>
      <c r="I6" s="8">
        <v>69.409000000000006</v>
      </c>
      <c r="J6">
        <v>3.8844827333333332E-2</v>
      </c>
      <c r="K6">
        <v>3.7995597333333332E-2</v>
      </c>
      <c r="L6">
        <f t="shared" si="0"/>
        <v>3.8844827333333329</v>
      </c>
      <c r="M6">
        <f t="shared" si="0"/>
        <v>3.7995597333333331</v>
      </c>
      <c r="N6">
        <v>2.62</v>
      </c>
      <c r="O6" t="e">
        <f t="shared" si="3"/>
        <v>#REF!</v>
      </c>
      <c r="P6" s="2">
        <f>H6-H2</f>
        <v>-4.6333799999999998</v>
      </c>
      <c r="Q6" s="7">
        <f>IF(MONTH(A6) = 1, 1, 0)</f>
        <v>1</v>
      </c>
      <c r="R6">
        <f>IF(MONTH(A6) = 4, 1, 0)</f>
        <v>0</v>
      </c>
      <c r="S6">
        <f>IF(MONTH(A6) = 7, 1, 0)</f>
        <v>0</v>
      </c>
      <c r="T6">
        <f>IF(MONTH(A6) = 10, 1, 0)</f>
        <v>0</v>
      </c>
      <c r="U6" s="2">
        <v>-1.63548</v>
      </c>
    </row>
    <row r="7" spans="1:21" x14ac:dyDescent="0.15">
      <c r="A7" s="11">
        <v>33329</v>
      </c>
      <c r="B7" s="2">
        <v>0.90432999999999997</v>
      </c>
      <c r="C7" s="2">
        <v>-0.59189000000000003</v>
      </c>
      <c r="D7" s="2">
        <v>0.88429999999999997</v>
      </c>
      <c r="E7" s="2">
        <v>1.37771</v>
      </c>
      <c r="F7" s="2">
        <v>-13.88889</v>
      </c>
      <c r="G7" s="2">
        <v>6.833333333333333</v>
      </c>
      <c r="H7" s="2">
        <v>-1.8815299999999999</v>
      </c>
      <c r="I7" s="8">
        <v>82.828000000000003</v>
      </c>
      <c r="J7">
        <v>3.6586261666666668E-2</v>
      </c>
      <c r="K7">
        <v>3.8045613666666672E-2</v>
      </c>
      <c r="L7">
        <f t="shared" si="0"/>
        <v>3.6586261666666666</v>
      </c>
      <c r="M7">
        <f t="shared" si="0"/>
        <v>3.8045613666666673</v>
      </c>
      <c r="N7">
        <v>2.543333333333333</v>
      </c>
      <c r="O7" t="e">
        <f t="shared" si="3"/>
        <v>#REF!</v>
      </c>
      <c r="P7" s="2">
        <f>H7-H3</f>
        <v>-0.44060999999999995</v>
      </c>
      <c r="Q7" s="7">
        <f>IF(MONTH(A7) = 1, 1, 0)</f>
        <v>0</v>
      </c>
      <c r="R7">
        <f>IF(MONTH(A7) = 4, 1, 0)</f>
        <v>1</v>
      </c>
      <c r="S7">
        <f>IF(MONTH(A7) = 7, 1, 0)</f>
        <v>0</v>
      </c>
      <c r="T7">
        <f>IF(MONTH(A7) = 10, 1, 0)</f>
        <v>0</v>
      </c>
      <c r="U7" s="2">
        <v>-5.90435</v>
      </c>
    </row>
    <row r="8" spans="1:21" x14ac:dyDescent="0.15">
      <c r="A8" s="11">
        <v>33420</v>
      </c>
      <c r="B8" s="2">
        <v>1.08491</v>
      </c>
      <c r="C8" s="2">
        <v>0.35725000000000001</v>
      </c>
      <c r="D8" s="2">
        <v>-0.53566999999999998</v>
      </c>
      <c r="E8" s="2">
        <v>1.1798900000000001</v>
      </c>
      <c r="F8" s="2">
        <v>16.12903</v>
      </c>
      <c r="G8" s="2">
        <v>6.8666666666666671</v>
      </c>
      <c r="H8" s="2">
        <v>-0.85226999999999997</v>
      </c>
      <c r="I8" s="8">
        <v>117.41800000000001</v>
      </c>
      <c r="J8">
        <v>3.7354418E-2</v>
      </c>
      <c r="K8">
        <v>3.8121097333333333E-2</v>
      </c>
      <c r="L8">
        <f t="shared" si="0"/>
        <v>3.7354418000000003</v>
      </c>
      <c r="M8">
        <f t="shared" si="0"/>
        <v>3.8121097333333331</v>
      </c>
      <c r="N8">
        <v>2.46</v>
      </c>
      <c r="O8" t="e">
        <f t="shared" si="3"/>
        <v>#REF!</v>
      </c>
      <c r="P8" s="2">
        <f>H8-H4</f>
        <v>-3.3010999999999999</v>
      </c>
      <c r="Q8" s="7">
        <f>IF(MONTH(A8) = 1, 1, 0)</f>
        <v>0</v>
      </c>
      <c r="R8">
        <f>IF(MONTH(A8) = 4, 1, 0)</f>
        <v>0</v>
      </c>
      <c r="S8">
        <f>IF(MONTH(A8) = 7, 1, 0)</f>
        <v>1</v>
      </c>
      <c r="T8">
        <f>IF(MONTH(A8) = 10, 1, 0)</f>
        <v>0</v>
      </c>
      <c r="U8" s="2">
        <v>-4.9188400000000003</v>
      </c>
    </row>
    <row r="9" spans="1:21" x14ac:dyDescent="0.15">
      <c r="A9" s="11">
        <v>33512</v>
      </c>
      <c r="B9" s="2">
        <v>0.93327000000000004</v>
      </c>
      <c r="C9" s="2">
        <v>1.03827</v>
      </c>
      <c r="D9" s="2">
        <v>4.8959999999999997E-2</v>
      </c>
      <c r="E9" s="2">
        <v>0.67366999999999999</v>
      </c>
      <c r="F9" s="2">
        <v>-11.11111</v>
      </c>
      <c r="G9" s="2">
        <v>7.1</v>
      </c>
      <c r="H9" s="2">
        <v>1.32521</v>
      </c>
      <c r="I9" s="8">
        <v>172.32300000000001</v>
      </c>
      <c r="J9">
        <v>3.5455317333333326E-2</v>
      </c>
      <c r="K9">
        <v>3.5462250666666667E-2</v>
      </c>
      <c r="L9">
        <f t="shared" si="0"/>
        <v>3.5455317333333327</v>
      </c>
      <c r="M9">
        <f t="shared" si="0"/>
        <v>3.5462250666666666</v>
      </c>
      <c r="N9">
        <v>2.3766666666666669</v>
      </c>
      <c r="O9" t="e">
        <f t="shared" si="3"/>
        <v>#REF!</v>
      </c>
      <c r="P9" s="2">
        <f>H9-H5</f>
        <v>-4.4186399999999999</v>
      </c>
      <c r="Q9" s="7">
        <f>IF(MONTH(A9) = 1, 1, 0)</f>
        <v>0</v>
      </c>
      <c r="R9">
        <f>IF(MONTH(A9) = 4, 1, 0)</f>
        <v>0</v>
      </c>
      <c r="S9">
        <f>IF(MONTH(A9) = 7, 1, 0)</f>
        <v>0</v>
      </c>
      <c r="T9">
        <f>IF(MONTH(A9) = 10, 1, 0)</f>
        <v>1</v>
      </c>
      <c r="U9" s="2">
        <v>-0.88607999999999998</v>
      </c>
    </row>
    <row r="10" spans="1:21" x14ac:dyDescent="0.15">
      <c r="A10" s="11">
        <v>33604</v>
      </c>
      <c r="B10" s="2">
        <v>0.87841000000000002</v>
      </c>
      <c r="C10" s="2">
        <v>-5.8720000000000001E-2</v>
      </c>
      <c r="D10" s="2">
        <v>1.00318</v>
      </c>
      <c r="E10" s="2">
        <v>2.50915</v>
      </c>
      <c r="F10" s="2">
        <v>-3.125</v>
      </c>
      <c r="G10" s="2">
        <v>7.3666666666666671</v>
      </c>
      <c r="H10" s="2">
        <v>-0.35348000000000002</v>
      </c>
      <c r="I10" s="8">
        <v>235.768</v>
      </c>
      <c r="J10">
        <v>3.4001520333333334E-2</v>
      </c>
      <c r="K10">
        <v>3.5179933333333337E-2</v>
      </c>
      <c r="L10">
        <f t="shared" si="0"/>
        <v>3.4001520333333333</v>
      </c>
      <c r="M10">
        <f t="shared" si="0"/>
        <v>3.5179933333333335</v>
      </c>
      <c r="N10">
        <v>2.3733333333333335</v>
      </c>
      <c r="O10" t="e">
        <f t="shared" si="3"/>
        <v>#REF!</v>
      </c>
      <c r="P10" s="2">
        <f>H10-H6</f>
        <v>2.8179100000000004</v>
      </c>
      <c r="Q10" s="7">
        <f>IF(MONTH(A10) = 1, 1, 0)</f>
        <v>1</v>
      </c>
      <c r="R10">
        <f>IF(MONTH(A10) = 4, 1, 0)</f>
        <v>0</v>
      </c>
      <c r="S10">
        <f>IF(MONTH(A10) = 7, 1, 0)</f>
        <v>0</v>
      </c>
      <c r="T10">
        <f>IF(MONTH(A10) = 10, 1, 0)</f>
        <v>0</v>
      </c>
      <c r="U10" s="2">
        <v>0.49351</v>
      </c>
    </row>
    <row r="11" spans="1:21" x14ac:dyDescent="0.15">
      <c r="A11" s="11">
        <v>33695</v>
      </c>
      <c r="B11" s="2">
        <v>0.87075999999999998</v>
      </c>
      <c r="C11" s="2">
        <v>0.61692000000000002</v>
      </c>
      <c r="D11" s="2">
        <v>2.4219999999999998E-2</v>
      </c>
      <c r="E11" s="2">
        <v>1.3478399999999999</v>
      </c>
      <c r="F11" s="2">
        <v>-6.4516099999999996</v>
      </c>
      <c r="G11" s="2">
        <v>7.6</v>
      </c>
      <c r="H11" s="2">
        <v>0.17737</v>
      </c>
      <c r="I11" s="8">
        <v>245.75800000000001</v>
      </c>
      <c r="J11">
        <v>3.4443122999999999E-2</v>
      </c>
      <c r="K11">
        <v>3.6332183999999997E-2</v>
      </c>
      <c r="L11">
        <f t="shared" si="0"/>
        <v>3.4443123</v>
      </c>
      <c r="M11">
        <f t="shared" si="0"/>
        <v>3.6332183999999996</v>
      </c>
      <c r="N11">
        <v>2.42</v>
      </c>
      <c r="O11" t="e">
        <f t="shared" si="3"/>
        <v>#REF!</v>
      </c>
      <c r="P11" s="2">
        <f>H11-H7</f>
        <v>2.0589</v>
      </c>
      <c r="Q11" s="7">
        <f>IF(MONTH(A11) = 1, 1, 0)</f>
        <v>0</v>
      </c>
      <c r="R11">
        <f>IF(MONTH(A11) = 4, 1, 0)</f>
        <v>1</v>
      </c>
      <c r="S11">
        <f>IF(MONTH(A11) = 7, 1, 0)</f>
        <v>0</v>
      </c>
      <c r="T11">
        <f>IF(MONTH(A11) = 10, 1, 0)</f>
        <v>0</v>
      </c>
      <c r="U11" s="2">
        <v>-2.2072400000000001</v>
      </c>
    </row>
    <row r="12" spans="1:21" x14ac:dyDescent="0.15">
      <c r="A12" s="11">
        <v>33786</v>
      </c>
      <c r="B12" s="2">
        <v>0.77237999999999996</v>
      </c>
      <c r="C12" s="2">
        <v>0.67152999999999996</v>
      </c>
      <c r="D12" s="2">
        <v>0.19375000000000001</v>
      </c>
      <c r="E12" s="2">
        <v>1.7165299999999999</v>
      </c>
      <c r="F12" s="2">
        <v>-17.241379999999999</v>
      </c>
      <c r="G12" s="2">
        <v>7.6333333333333329</v>
      </c>
      <c r="H12" s="2">
        <v>1.59348</v>
      </c>
      <c r="I12" s="8">
        <v>256.37599999999998</v>
      </c>
      <c r="J12">
        <v>3.1331306666666663E-2</v>
      </c>
      <c r="K12">
        <v>3.3234853333333335E-2</v>
      </c>
      <c r="L12">
        <f t="shared" si="0"/>
        <v>3.1331306666666663</v>
      </c>
      <c r="M12">
        <f t="shared" si="0"/>
        <v>3.3234853333333336</v>
      </c>
      <c r="N12">
        <v>2.4133333333333331</v>
      </c>
      <c r="O12" t="e">
        <f t="shared" si="3"/>
        <v>#REF!</v>
      </c>
      <c r="P12" s="2">
        <f>H12-H8</f>
        <v>2.4457499999999999</v>
      </c>
      <c r="Q12" s="7">
        <f>IF(MONTH(A12) = 1, 1, 0)</f>
        <v>0</v>
      </c>
      <c r="R12">
        <f>IF(MONTH(A12) = 4, 1, 0)</f>
        <v>0</v>
      </c>
      <c r="S12">
        <f>IF(MONTH(A12) = 7, 1, 0)</f>
        <v>1</v>
      </c>
      <c r="T12">
        <f>IF(MONTH(A12) = 10, 1, 0)</f>
        <v>0</v>
      </c>
      <c r="U12" s="2">
        <v>-0.1158</v>
      </c>
    </row>
    <row r="13" spans="1:21" x14ac:dyDescent="0.15">
      <c r="A13" s="11">
        <v>33878</v>
      </c>
      <c r="B13" s="2">
        <v>0.90171000000000001</v>
      </c>
      <c r="C13" s="2">
        <v>1.39211</v>
      </c>
      <c r="D13" s="2">
        <v>0.38674999999999998</v>
      </c>
      <c r="E13" s="2">
        <v>1.89733</v>
      </c>
      <c r="F13" s="2">
        <v>25</v>
      </c>
      <c r="G13" s="2">
        <v>7.3666666666666671</v>
      </c>
      <c r="H13" s="2">
        <v>3.4860000000000002E-2</v>
      </c>
      <c r="I13" s="8">
        <v>324.98200000000003</v>
      </c>
      <c r="J13">
        <v>3.0162698666666668E-2</v>
      </c>
      <c r="K13">
        <v>3.2896638999999998E-2</v>
      </c>
      <c r="L13">
        <f t="shared" si="0"/>
        <v>3.0162698666666667</v>
      </c>
      <c r="M13">
        <f t="shared" si="0"/>
        <v>3.2896638999999999</v>
      </c>
      <c r="N13">
        <v>2.4866666666666664</v>
      </c>
      <c r="O13" t="e">
        <f t="shared" si="3"/>
        <v>#REF!</v>
      </c>
      <c r="P13" s="2">
        <f>H13-H9</f>
        <v>-1.2903500000000001</v>
      </c>
      <c r="Q13" s="7">
        <f>IF(MONTH(A13) = 1, 1, 0)</f>
        <v>0</v>
      </c>
      <c r="R13">
        <f>IF(MONTH(A13) = 4, 1, 0)</f>
        <v>0</v>
      </c>
      <c r="S13">
        <f>IF(MONTH(A13) = 7, 1, 0)</f>
        <v>0</v>
      </c>
      <c r="T13">
        <f>IF(MONTH(A13) = 10, 1, 0)</f>
        <v>1</v>
      </c>
      <c r="U13" s="2">
        <v>0.28582999999999997</v>
      </c>
    </row>
    <row r="14" spans="1:21" x14ac:dyDescent="0.15">
      <c r="A14" s="11">
        <v>33970</v>
      </c>
      <c r="B14" s="2">
        <v>0.87131000000000003</v>
      </c>
      <c r="C14" s="2">
        <v>-0.14302000000000001</v>
      </c>
      <c r="D14" s="2">
        <v>1.08355</v>
      </c>
      <c r="E14" s="2">
        <v>0.98207999999999995</v>
      </c>
      <c r="F14" s="2">
        <v>-6.6666699999999999</v>
      </c>
      <c r="G14" s="2">
        <v>7.1333333333333329</v>
      </c>
      <c r="H14" s="2">
        <v>-1.3240400000000001</v>
      </c>
      <c r="I14" s="8">
        <v>286.57299999999998</v>
      </c>
      <c r="J14">
        <v>2.9790463999999999E-2</v>
      </c>
      <c r="K14">
        <v>3.1762714000000004E-2</v>
      </c>
      <c r="L14">
        <f t="shared" si="0"/>
        <v>2.9790464000000001</v>
      </c>
      <c r="M14">
        <f t="shared" si="0"/>
        <v>3.1762714000000005</v>
      </c>
      <c r="N14">
        <v>2.5133333333333332</v>
      </c>
      <c r="O14" t="e">
        <f t="shared" si="3"/>
        <v>#REF!</v>
      </c>
      <c r="P14" s="2">
        <f>H14-H10</f>
        <v>-0.97056000000000009</v>
      </c>
      <c r="Q14" s="7">
        <f>IF(MONTH(A14) = 1, 1, 0)</f>
        <v>1</v>
      </c>
      <c r="R14">
        <f>IF(MONTH(A14) = 4, 1, 0)</f>
        <v>0</v>
      </c>
      <c r="S14">
        <f>IF(MONTH(A14) = 7, 1, 0)</f>
        <v>0</v>
      </c>
      <c r="T14">
        <f>IF(MONTH(A14) = 10, 1, 0)</f>
        <v>0</v>
      </c>
      <c r="U14" s="2">
        <v>-1.3533599999999999</v>
      </c>
    </row>
    <row r="15" spans="1:21" x14ac:dyDescent="0.15">
      <c r="A15" s="11">
        <v>34060</v>
      </c>
      <c r="B15" s="2">
        <v>0.84164000000000005</v>
      </c>
      <c r="C15" s="2">
        <v>1.74735</v>
      </c>
      <c r="D15" s="2">
        <v>0.54788000000000003</v>
      </c>
      <c r="E15" s="2">
        <v>1.5886899999999999</v>
      </c>
      <c r="F15" s="2">
        <v>10.71429</v>
      </c>
      <c r="G15" s="2">
        <v>7.0666666666666664</v>
      </c>
      <c r="H15" s="2">
        <v>0.88277000000000005</v>
      </c>
      <c r="I15" s="8">
        <v>264.02800000000002</v>
      </c>
      <c r="J15">
        <v>2.8471689333333331E-2</v>
      </c>
      <c r="K15">
        <v>3.0223519333333334E-2</v>
      </c>
      <c r="L15">
        <f t="shared" si="0"/>
        <v>2.8471689333333332</v>
      </c>
      <c r="M15">
        <f t="shared" si="0"/>
        <v>3.0223519333333333</v>
      </c>
      <c r="N15">
        <v>2.57</v>
      </c>
      <c r="O15" t="e">
        <f t="shared" si="3"/>
        <v>#REF!</v>
      </c>
      <c r="P15" s="2">
        <f>H15-H11</f>
        <v>0.70540000000000003</v>
      </c>
      <c r="Q15" s="7">
        <f>IF(MONTH(A15) = 1, 1, 0)</f>
        <v>0</v>
      </c>
      <c r="R15">
        <f>IF(MONTH(A15) = 4, 1, 0)</f>
        <v>1</v>
      </c>
      <c r="S15">
        <f>IF(MONTH(A15) = 7, 1, 0)</f>
        <v>0</v>
      </c>
      <c r="T15">
        <f>IF(MONTH(A15) = 10, 1, 0)</f>
        <v>0</v>
      </c>
      <c r="U15" s="2">
        <v>-2.4796499999999999</v>
      </c>
    </row>
    <row r="16" spans="1:21" x14ac:dyDescent="0.15">
      <c r="A16" s="11">
        <v>34151</v>
      </c>
      <c r="B16" s="2">
        <v>0.59301999999999999</v>
      </c>
      <c r="C16" s="2">
        <v>0.95721000000000001</v>
      </c>
      <c r="D16" s="2">
        <v>2.3689999999999999E-2</v>
      </c>
      <c r="E16" s="2">
        <v>1.5517700000000001</v>
      </c>
      <c r="F16" s="2">
        <v>-25.806450000000002</v>
      </c>
      <c r="G16" s="2">
        <v>6.8</v>
      </c>
      <c r="H16" s="2">
        <v>-0.80503999999999998</v>
      </c>
      <c r="I16" s="8">
        <v>256.70800000000003</v>
      </c>
      <c r="J16">
        <v>2.7791416666666666E-2</v>
      </c>
      <c r="K16">
        <v>2.9288990666666664E-2</v>
      </c>
      <c r="L16">
        <f t="shared" si="0"/>
        <v>2.7791416666666664</v>
      </c>
      <c r="M16">
        <f t="shared" si="0"/>
        <v>2.9288990666666663</v>
      </c>
      <c r="N16">
        <v>2.66</v>
      </c>
      <c r="O16" t="e">
        <f t="shared" si="3"/>
        <v>#REF!</v>
      </c>
      <c r="P16" s="2">
        <f>H16-H12</f>
        <v>-2.39852</v>
      </c>
      <c r="Q16" s="7">
        <f>IF(MONTH(A16) = 1, 1, 0)</f>
        <v>0</v>
      </c>
      <c r="R16">
        <f>IF(MONTH(A16) = 4, 1, 0)</f>
        <v>0</v>
      </c>
      <c r="S16">
        <f>IF(MONTH(A16) = 7, 1, 0)</f>
        <v>1</v>
      </c>
      <c r="T16">
        <f>IF(MONTH(A16) = 10, 1, 0)</f>
        <v>0</v>
      </c>
      <c r="U16" s="2">
        <v>-1.9134599999999999</v>
      </c>
    </row>
    <row r="17" spans="1:21" x14ac:dyDescent="0.15">
      <c r="A17" s="11">
        <v>34243</v>
      </c>
      <c r="B17" s="2">
        <v>0.78603000000000001</v>
      </c>
      <c r="C17" s="2">
        <v>0.11154</v>
      </c>
      <c r="D17" s="2">
        <v>0.94742000000000004</v>
      </c>
      <c r="E17" s="2">
        <v>1.4597199999999999</v>
      </c>
      <c r="F17" s="2">
        <v>-8.6956500000000005</v>
      </c>
      <c r="G17" s="2">
        <v>6.6333333333333329</v>
      </c>
      <c r="H17" s="2">
        <v>-0.21171000000000001</v>
      </c>
      <c r="I17" s="8">
        <v>255.74600000000001</v>
      </c>
      <c r="J17">
        <v>2.7457907666666666E-2</v>
      </c>
      <c r="K17">
        <v>2.9141195999999998E-2</v>
      </c>
      <c r="L17">
        <f t="shared" si="0"/>
        <v>2.7457907666666665</v>
      </c>
      <c r="M17">
        <f t="shared" si="0"/>
        <v>2.9141195999999998</v>
      </c>
      <c r="N17">
        <v>2.81</v>
      </c>
      <c r="O17" t="e">
        <f t="shared" si="3"/>
        <v>#REF!</v>
      </c>
      <c r="P17" s="2">
        <f>H17-H13</f>
        <v>-0.24657000000000001</v>
      </c>
      <c r="Q17" s="7">
        <f>IF(MONTH(A17) = 1, 1, 0)</f>
        <v>0</v>
      </c>
      <c r="R17">
        <f>IF(MONTH(A17) = 4, 1, 0)</f>
        <v>0</v>
      </c>
      <c r="S17">
        <f>IF(MONTH(A17) = 7, 1, 0)</f>
        <v>0</v>
      </c>
      <c r="T17">
        <f>IF(MONTH(A17) = 10, 1, 0)</f>
        <v>1</v>
      </c>
      <c r="U17" s="2">
        <v>2.36334</v>
      </c>
    </row>
    <row r="18" spans="1:21" x14ac:dyDescent="0.15">
      <c r="A18" s="11">
        <v>34335</v>
      </c>
      <c r="B18" s="2">
        <v>0.64990999999999999</v>
      </c>
      <c r="C18" s="2">
        <v>5.5710000000000003E-2</v>
      </c>
      <c r="D18" s="2">
        <v>0.84467000000000003</v>
      </c>
      <c r="E18" s="2">
        <v>1.5060800000000001</v>
      </c>
      <c r="F18" s="2">
        <v>-14.28571</v>
      </c>
      <c r="G18" s="2">
        <v>6.5666666666666664</v>
      </c>
      <c r="H18" s="2">
        <v>-0.49504999999999999</v>
      </c>
      <c r="I18" s="8">
        <v>286.44900000000001</v>
      </c>
      <c r="J18">
        <v>2.9771222999999999E-2</v>
      </c>
      <c r="K18">
        <v>3.0634859666666667E-2</v>
      </c>
      <c r="L18">
        <f t="shared" si="0"/>
        <v>2.9771223</v>
      </c>
      <c r="M18">
        <f t="shared" si="0"/>
        <v>3.0634859666666667</v>
      </c>
      <c r="N18">
        <v>3.0500000000000003</v>
      </c>
      <c r="O18" t="e">
        <f t="shared" si="3"/>
        <v>#REF!</v>
      </c>
      <c r="P18" s="2">
        <f>H18-H14</f>
        <v>0.82899000000000012</v>
      </c>
      <c r="Q18" s="7">
        <f>IF(MONTH(A18) = 1, 1, 0)</f>
        <v>1</v>
      </c>
      <c r="R18">
        <f>IF(MONTH(A18) = 4, 1, 0)</f>
        <v>0</v>
      </c>
      <c r="S18">
        <f>IF(MONTH(A18) = 7, 1, 0)</f>
        <v>0</v>
      </c>
      <c r="T18">
        <f>IF(MONTH(A18) = 10, 1, 0)</f>
        <v>0</v>
      </c>
      <c r="U18" s="2">
        <v>2.91601</v>
      </c>
    </row>
    <row r="19" spans="1:21" x14ac:dyDescent="0.15">
      <c r="A19" s="11">
        <v>34425</v>
      </c>
      <c r="B19" s="2">
        <v>0.68876000000000004</v>
      </c>
      <c r="C19" s="2">
        <v>-0.33407999999999999</v>
      </c>
      <c r="D19" s="2">
        <v>0.1396</v>
      </c>
      <c r="E19" s="2">
        <v>1.34019</v>
      </c>
      <c r="F19" s="2">
        <v>50</v>
      </c>
      <c r="G19" s="2">
        <v>6.2</v>
      </c>
      <c r="H19" s="2">
        <v>1.81237</v>
      </c>
      <c r="I19" s="8">
        <v>346.14499999999998</v>
      </c>
      <c r="J19">
        <v>3.2953144999999996E-2</v>
      </c>
      <c r="K19">
        <v>3.4732972666666667E-2</v>
      </c>
      <c r="L19">
        <f t="shared" si="0"/>
        <v>3.2953144999999995</v>
      </c>
      <c r="M19">
        <f t="shared" si="0"/>
        <v>3.4732972666666666</v>
      </c>
      <c r="N19">
        <v>3.1733333333333333</v>
      </c>
      <c r="O19" t="e">
        <f t="shared" si="3"/>
        <v>#REF!</v>
      </c>
      <c r="P19" s="2">
        <f>H19-H15</f>
        <v>0.92959999999999998</v>
      </c>
      <c r="Q19" s="7">
        <f>IF(MONTH(A19) = 1, 1, 0)</f>
        <v>0</v>
      </c>
      <c r="R19">
        <f>IF(MONTH(A19) = 4, 1, 0)</f>
        <v>1</v>
      </c>
      <c r="S19">
        <f>IF(MONTH(A19) = 7, 1, 0)</f>
        <v>0</v>
      </c>
      <c r="T19">
        <f>IF(MONTH(A19) = 10, 1, 0)</f>
        <v>0</v>
      </c>
      <c r="U19" s="2">
        <v>-1.9926200000000001</v>
      </c>
    </row>
    <row r="20" spans="1:21" x14ac:dyDescent="0.15">
      <c r="A20" s="11">
        <v>34516</v>
      </c>
      <c r="B20" s="2">
        <v>0.74817999999999996</v>
      </c>
      <c r="C20" s="2">
        <v>-0.13966000000000001</v>
      </c>
      <c r="D20" s="2">
        <v>0.83643000000000001</v>
      </c>
      <c r="E20" s="2">
        <v>1.48546</v>
      </c>
      <c r="F20" s="2">
        <v>-14.81481</v>
      </c>
      <c r="G20" s="2">
        <v>6</v>
      </c>
      <c r="H20" s="2">
        <v>1.9197200000000001</v>
      </c>
      <c r="I20" s="8">
        <v>345.56599999999997</v>
      </c>
      <c r="J20">
        <v>3.2748912333333331E-2</v>
      </c>
      <c r="K20">
        <v>3.5102900333333333E-2</v>
      </c>
      <c r="L20">
        <f t="shared" si="0"/>
        <v>3.2748912333333333</v>
      </c>
      <c r="M20">
        <f t="shared" si="0"/>
        <v>3.5102900333333333</v>
      </c>
      <c r="N20">
        <v>3.2433333333333336</v>
      </c>
      <c r="O20" t="e">
        <f t="shared" si="3"/>
        <v>#REF!</v>
      </c>
      <c r="P20" s="2">
        <f>H20-H16</f>
        <v>2.7247599999999998</v>
      </c>
      <c r="Q20" s="7">
        <f>IF(MONTH(A20) = 1, 1, 0)</f>
        <v>0</v>
      </c>
      <c r="R20">
        <f>IF(MONTH(A20) = 4, 1, 0)</f>
        <v>0</v>
      </c>
      <c r="S20">
        <f>IF(MONTH(A20) = 7, 1, 0)</f>
        <v>1</v>
      </c>
      <c r="T20">
        <f>IF(MONTH(A20) = 10, 1, 0)</f>
        <v>0</v>
      </c>
      <c r="U20" s="2">
        <v>-0.66564000000000001</v>
      </c>
    </row>
    <row r="21" spans="1:21" x14ac:dyDescent="0.15">
      <c r="A21" s="11">
        <v>34608</v>
      </c>
      <c r="B21" s="2">
        <v>0.63653999999999999</v>
      </c>
      <c r="C21" s="2">
        <v>-0.39161000000000001</v>
      </c>
      <c r="D21" s="2">
        <v>0.71428999999999998</v>
      </c>
      <c r="E21" s="2">
        <v>1.5563</v>
      </c>
      <c r="F21" s="2">
        <v>-13.043480000000001</v>
      </c>
      <c r="G21" s="2">
        <v>5.6333333333333329</v>
      </c>
      <c r="H21" s="2">
        <v>0.95889999999999997</v>
      </c>
      <c r="I21" s="8">
        <v>357.76299999999998</v>
      </c>
      <c r="J21">
        <v>3.6598178666666668E-2</v>
      </c>
      <c r="K21">
        <v>3.7548176999999995E-2</v>
      </c>
      <c r="L21">
        <f t="shared" si="0"/>
        <v>3.6598178666666668</v>
      </c>
      <c r="M21">
        <f t="shared" si="0"/>
        <v>3.7548176999999994</v>
      </c>
      <c r="N21">
        <v>3.4299999999999997</v>
      </c>
      <c r="O21" t="e">
        <f t="shared" si="3"/>
        <v>#REF!</v>
      </c>
      <c r="P21" s="2">
        <f>H21-H17</f>
        <v>1.1706099999999999</v>
      </c>
      <c r="Q21" s="7">
        <f>IF(MONTH(A21) = 1, 1, 0)</f>
        <v>0</v>
      </c>
      <c r="R21">
        <f>IF(MONTH(A21) = 4, 1, 0)</f>
        <v>0</v>
      </c>
      <c r="S21">
        <f>IF(MONTH(A21) = 7, 1, 0)</f>
        <v>0</v>
      </c>
      <c r="T21">
        <f>IF(MONTH(A21) = 10, 1, 0)</f>
        <v>1</v>
      </c>
      <c r="U21" s="2">
        <v>0.38529999999999998</v>
      </c>
    </row>
    <row r="22" spans="1:21" x14ac:dyDescent="0.15">
      <c r="A22" s="11">
        <v>34700</v>
      </c>
      <c r="B22" s="2">
        <v>0.84335000000000004</v>
      </c>
      <c r="C22" s="2">
        <v>0.56164000000000003</v>
      </c>
      <c r="D22" s="2">
        <v>1.1896599999999999</v>
      </c>
      <c r="E22" s="2">
        <v>0.74102000000000001</v>
      </c>
      <c r="F22" s="2">
        <v>5</v>
      </c>
      <c r="G22" s="2">
        <v>5.4666666666666668</v>
      </c>
      <c r="H22" s="2">
        <v>1.08548</v>
      </c>
      <c r="I22" s="8">
        <v>345.197</v>
      </c>
      <c r="J22">
        <v>3.5793374666666662E-2</v>
      </c>
      <c r="K22">
        <v>3.7372575999999998E-2</v>
      </c>
      <c r="L22">
        <f t="shared" si="0"/>
        <v>3.5793374666666664</v>
      </c>
      <c r="M22">
        <f t="shared" si="0"/>
        <v>3.7372576</v>
      </c>
      <c r="N22">
        <v>3.35</v>
      </c>
      <c r="O22" t="e">
        <f t="shared" si="3"/>
        <v>#REF!</v>
      </c>
      <c r="P22" s="2">
        <f>H22-H18</f>
        <v>1.58053</v>
      </c>
      <c r="Q22" s="7">
        <f>IF(MONTH(A22) = 1, 1, 0)</f>
        <v>1</v>
      </c>
      <c r="R22">
        <f>IF(MONTH(A22) = 4, 1, 0)</f>
        <v>0</v>
      </c>
      <c r="S22">
        <f>IF(MONTH(A22) = 7, 1, 0)</f>
        <v>0</v>
      </c>
      <c r="T22">
        <f>IF(MONTH(A22) = 10, 1, 0)</f>
        <v>0</v>
      </c>
      <c r="U22" s="2">
        <v>1.5395099999999999</v>
      </c>
    </row>
    <row r="23" spans="1:21" x14ac:dyDescent="0.15">
      <c r="A23" s="11">
        <v>34790</v>
      </c>
      <c r="B23" s="2">
        <v>0.81538999999999995</v>
      </c>
      <c r="C23" s="2">
        <v>-0.41887999999999997</v>
      </c>
      <c r="D23" s="2">
        <v>0.52000999999999997</v>
      </c>
      <c r="E23" s="2">
        <v>1.4629099999999999</v>
      </c>
      <c r="F23" s="2">
        <v>14.28571</v>
      </c>
      <c r="G23" s="2">
        <v>5.666666666666667</v>
      </c>
      <c r="H23" s="2">
        <v>2.04698</v>
      </c>
      <c r="I23" s="8">
        <v>272.113</v>
      </c>
      <c r="J23">
        <v>3.3292601999999998E-2</v>
      </c>
      <c r="K23">
        <v>3.2893111333333336E-2</v>
      </c>
      <c r="L23">
        <f t="shared" si="0"/>
        <v>3.3292601999999998</v>
      </c>
      <c r="M23">
        <f t="shared" si="0"/>
        <v>3.2893111333333334</v>
      </c>
      <c r="N23">
        <v>3.2033333333333331</v>
      </c>
      <c r="O23" t="e">
        <f t="shared" si="3"/>
        <v>#REF!</v>
      </c>
      <c r="P23" s="2">
        <f>H23-H19</f>
        <v>0.23460999999999999</v>
      </c>
      <c r="Q23" s="7">
        <f>IF(MONTH(A23) = 1, 1, 0)</f>
        <v>0</v>
      </c>
      <c r="R23">
        <f>IF(MONTH(A23) = 4, 1, 0)</f>
        <v>1</v>
      </c>
      <c r="S23">
        <f>IF(MONTH(A23) = 7, 1, 0)</f>
        <v>0</v>
      </c>
      <c r="T23">
        <f>IF(MONTH(A23) = 10, 1, 0)</f>
        <v>0</v>
      </c>
      <c r="U23" s="2">
        <v>-0.10997</v>
      </c>
    </row>
    <row r="24" spans="1:21" x14ac:dyDescent="0.15">
      <c r="A24" s="11">
        <v>34881</v>
      </c>
      <c r="B24" s="2">
        <v>0.66363000000000005</v>
      </c>
      <c r="C24" s="2">
        <v>8.4129999999999996E-2</v>
      </c>
      <c r="D24" s="2">
        <v>0.17993999999999999</v>
      </c>
      <c r="E24" s="2">
        <v>1.3188500000000001</v>
      </c>
      <c r="F24" s="2">
        <v>-20.83333</v>
      </c>
      <c r="G24" s="2">
        <v>5.666666666666667</v>
      </c>
      <c r="H24" s="2">
        <v>-0.46037</v>
      </c>
      <c r="I24" s="8">
        <v>288.89299999999997</v>
      </c>
      <c r="J24">
        <v>3.2447513333333337E-2</v>
      </c>
      <c r="K24">
        <v>3.1233996666666666E-2</v>
      </c>
      <c r="L24">
        <f t="shared" si="0"/>
        <v>3.2447513333333338</v>
      </c>
      <c r="M24">
        <f t="shared" si="0"/>
        <v>3.1233996666666668</v>
      </c>
      <c r="N24">
        <v>3.2999999999999994</v>
      </c>
      <c r="O24" t="e">
        <f t="shared" si="3"/>
        <v>#REF!</v>
      </c>
      <c r="P24" s="2">
        <f>H24-H20</f>
        <v>-2.38009</v>
      </c>
      <c r="Q24" s="7">
        <f>IF(MONTH(A24) = 1, 1, 0)</f>
        <v>0</v>
      </c>
      <c r="R24">
        <f>IF(MONTH(A24) = 4, 1, 0)</f>
        <v>0</v>
      </c>
      <c r="S24">
        <f>IF(MONTH(A24) = 7, 1, 0)</f>
        <v>1</v>
      </c>
      <c r="T24">
        <f>IF(MONTH(A24) = 10, 1, 0)</f>
        <v>0</v>
      </c>
      <c r="U24" s="2">
        <v>-0.61875999999999998</v>
      </c>
    </row>
    <row r="25" spans="1:21" x14ac:dyDescent="0.15">
      <c r="A25" s="11">
        <v>34973</v>
      </c>
      <c r="B25" s="2">
        <v>0.70045000000000002</v>
      </c>
      <c r="C25" s="2">
        <v>0.36425000000000002</v>
      </c>
      <c r="D25" s="2">
        <v>0.74090999999999996</v>
      </c>
      <c r="E25" s="2">
        <v>1.1403000000000001</v>
      </c>
      <c r="F25" s="2">
        <v>5.2631600000000001</v>
      </c>
      <c r="G25" s="2">
        <v>5.5666666666666664</v>
      </c>
      <c r="H25" s="2">
        <v>-0.23125000000000001</v>
      </c>
      <c r="I25" s="8">
        <v>239.899</v>
      </c>
      <c r="J25">
        <v>2.9553916666666669E-2</v>
      </c>
      <c r="K25">
        <v>2.9762854000000002E-2</v>
      </c>
      <c r="L25">
        <f t="shared" si="0"/>
        <v>2.9553916666666669</v>
      </c>
      <c r="M25">
        <f t="shared" si="0"/>
        <v>2.9762854000000001</v>
      </c>
      <c r="N25">
        <v>3.3633333333333333</v>
      </c>
      <c r="O25" t="e">
        <f t="shared" si="3"/>
        <v>#REF!</v>
      </c>
      <c r="P25" s="2">
        <f>H25-H21</f>
        <v>-1.19015</v>
      </c>
      <c r="Q25" s="7">
        <f>IF(MONTH(A25) = 1, 1, 0)</f>
        <v>0</v>
      </c>
      <c r="R25">
        <f>IF(MONTH(A25) = 4, 1, 0)</f>
        <v>0</v>
      </c>
      <c r="S25">
        <f>IF(MONTH(A25) = 7, 1, 0)</f>
        <v>0</v>
      </c>
      <c r="T25">
        <f>IF(MONTH(A25) = 10, 1, 0)</f>
        <v>1</v>
      </c>
      <c r="U25" s="2">
        <v>1.45862</v>
      </c>
    </row>
    <row r="26" spans="1:21" x14ac:dyDescent="0.15">
      <c r="A26" s="11">
        <v>35065</v>
      </c>
      <c r="B26" s="2">
        <v>0.67512000000000005</v>
      </c>
      <c r="C26" s="2">
        <v>0.89336000000000004</v>
      </c>
      <c r="D26" s="2">
        <v>1.0474699999999999</v>
      </c>
      <c r="E26" s="2">
        <v>1.48217</v>
      </c>
      <c r="F26" s="2">
        <v>-20</v>
      </c>
      <c r="G26" s="2">
        <v>5.5333333333333332</v>
      </c>
      <c r="H26" s="2">
        <v>0.59602999999999995</v>
      </c>
      <c r="I26" s="8">
        <v>252.28800000000001</v>
      </c>
      <c r="J26">
        <v>2.8467724999999999E-2</v>
      </c>
      <c r="K26">
        <v>2.9038630666666666E-2</v>
      </c>
      <c r="L26">
        <f t="shared" si="0"/>
        <v>2.8467725000000002</v>
      </c>
      <c r="M26">
        <f t="shared" si="0"/>
        <v>2.9038630666666667</v>
      </c>
      <c r="N26">
        <v>3.2966666666666669</v>
      </c>
      <c r="O26" t="e">
        <f t="shared" si="3"/>
        <v>#REF!</v>
      </c>
      <c r="P26" s="2">
        <f>H26-H22</f>
        <v>-0.48945000000000005</v>
      </c>
      <c r="Q26" s="7">
        <f>IF(MONTH(A26) = 1, 1, 0)</f>
        <v>1</v>
      </c>
      <c r="R26">
        <f>IF(MONTH(A26) = 4, 1, 0)</f>
        <v>0</v>
      </c>
      <c r="S26">
        <f>IF(MONTH(A26) = 7, 1, 0)</f>
        <v>0</v>
      </c>
      <c r="T26">
        <f>IF(MONTH(A26) = 10, 1, 0)</f>
        <v>0</v>
      </c>
      <c r="U26" s="2">
        <v>4.3972100000000003</v>
      </c>
    </row>
    <row r="27" spans="1:21" x14ac:dyDescent="0.15">
      <c r="A27" s="11">
        <v>35156</v>
      </c>
      <c r="B27" s="2">
        <v>0.58931</v>
      </c>
      <c r="C27" s="2">
        <v>0.91312000000000004</v>
      </c>
      <c r="D27" s="2">
        <v>0.77195000000000003</v>
      </c>
      <c r="E27" s="2">
        <v>1.75288</v>
      </c>
      <c r="F27" s="2">
        <v>18.75</v>
      </c>
      <c r="G27" s="2">
        <v>5.5</v>
      </c>
      <c r="H27" s="2">
        <v>0.39500000000000002</v>
      </c>
      <c r="I27" s="8">
        <v>347.096</v>
      </c>
      <c r="J27">
        <v>3.2024397333333336E-2</v>
      </c>
      <c r="K27">
        <v>3.2487936666666668E-2</v>
      </c>
      <c r="L27">
        <f t="shared" si="0"/>
        <v>3.2024397333333336</v>
      </c>
      <c r="M27">
        <f t="shared" si="0"/>
        <v>3.2487936666666668</v>
      </c>
      <c r="N27">
        <v>3.2666666666666671</v>
      </c>
      <c r="O27" t="e">
        <f t="shared" si="3"/>
        <v>#REF!</v>
      </c>
      <c r="P27" s="2">
        <f>H27-H23</f>
        <v>-1.65198</v>
      </c>
      <c r="Q27" s="7">
        <f>IF(MONTH(A27) = 1, 1, 0)</f>
        <v>0</v>
      </c>
      <c r="R27">
        <f>IF(MONTH(A27) = 4, 1, 0)</f>
        <v>1</v>
      </c>
      <c r="S27">
        <f>IF(MONTH(A27) = 7, 1, 0)</f>
        <v>0</v>
      </c>
      <c r="T27">
        <f>IF(MONTH(A27) = 10, 1, 0)</f>
        <v>0</v>
      </c>
      <c r="U27" s="2">
        <v>-4.1584899999999996</v>
      </c>
    </row>
    <row r="28" spans="1:21" x14ac:dyDescent="0.15">
      <c r="A28" s="11">
        <v>35247</v>
      </c>
      <c r="B28" s="2">
        <v>0.64646000000000003</v>
      </c>
      <c r="C28" s="2">
        <v>0.95969000000000004</v>
      </c>
      <c r="D28" s="2">
        <v>1.00678</v>
      </c>
      <c r="E28" s="2">
        <v>1.0337400000000001</v>
      </c>
      <c r="F28" s="2">
        <v>-5.2631600000000001</v>
      </c>
      <c r="G28" s="2">
        <v>5.2666666666666666</v>
      </c>
      <c r="H28" s="2">
        <v>-0.62295</v>
      </c>
      <c r="I28" s="8">
        <v>357.63499999999999</v>
      </c>
      <c r="J28">
        <v>3.1289913000000003E-2</v>
      </c>
      <c r="K28">
        <v>3.2915960666666667E-2</v>
      </c>
      <c r="L28">
        <f t="shared" si="0"/>
        <v>3.1289913</v>
      </c>
      <c r="M28">
        <f t="shared" si="0"/>
        <v>3.2915960666666666</v>
      </c>
      <c r="N28">
        <v>3.2733333333333334</v>
      </c>
      <c r="O28" t="e">
        <f t="shared" si="3"/>
        <v>#REF!</v>
      </c>
      <c r="P28" s="2">
        <f>H28-H24</f>
        <v>-0.16258</v>
      </c>
      <c r="Q28" s="7">
        <f>IF(MONTH(A28) = 1, 1, 0)</f>
        <v>0</v>
      </c>
      <c r="R28">
        <f>IF(MONTH(A28) = 4, 1, 0)</f>
        <v>0</v>
      </c>
      <c r="S28">
        <f>IF(MONTH(A28) = 7, 1, 0)</f>
        <v>1</v>
      </c>
      <c r="T28">
        <f>IF(MONTH(A28) = 10, 1, 0)</f>
        <v>0</v>
      </c>
      <c r="U28" s="2">
        <v>-2.5736300000000001</v>
      </c>
    </row>
    <row r="29" spans="1:21" x14ac:dyDescent="0.15">
      <c r="A29" s="11">
        <v>35339</v>
      </c>
      <c r="B29" s="2">
        <v>0.64231000000000005</v>
      </c>
      <c r="C29" s="2">
        <v>0.51602000000000003</v>
      </c>
      <c r="D29" s="2">
        <v>1.32178</v>
      </c>
      <c r="E29" s="2">
        <v>1.48387</v>
      </c>
      <c r="F29" s="2">
        <v>27.77778</v>
      </c>
      <c r="G29" s="2">
        <v>5.333333333333333</v>
      </c>
      <c r="H29" s="2">
        <v>1.3197000000000001</v>
      </c>
      <c r="I29" s="8">
        <v>403.99099999999999</v>
      </c>
      <c r="J29">
        <v>3.080832E-2</v>
      </c>
      <c r="K29">
        <v>3.1699937666666664E-2</v>
      </c>
      <c r="L29">
        <f t="shared" si="0"/>
        <v>3.080832</v>
      </c>
      <c r="M29">
        <f t="shared" si="0"/>
        <v>3.1699937666666664</v>
      </c>
      <c r="N29">
        <v>3.3866666666666667</v>
      </c>
      <c r="O29" t="e">
        <f t="shared" si="3"/>
        <v>#REF!</v>
      </c>
      <c r="P29" s="2">
        <f>H29-H25</f>
        <v>1.5509500000000001</v>
      </c>
      <c r="Q29" s="7">
        <f>IF(MONTH(A29) = 1, 1, 0)</f>
        <v>0</v>
      </c>
      <c r="R29">
        <f>IF(MONTH(A29) = 4, 1, 0)</f>
        <v>0</v>
      </c>
      <c r="S29">
        <f>IF(MONTH(A29) = 7, 1, 0)</f>
        <v>0</v>
      </c>
      <c r="T29">
        <f>IF(MONTH(A29) = 10, 1, 0)</f>
        <v>1</v>
      </c>
      <c r="U29" s="2">
        <v>-0.18415000000000001</v>
      </c>
    </row>
    <row r="30" spans="1:21" x14ac:dyDescent="0.15">
      <c r="A30" s="11">
        <v>35431</v>
      </c>
      <c r="B30" s="2">
        <v>0.57838000000000001</v>
      </c>
      <c r="C30" s="2">
        <v>2.26966</v>
      </c>
      <c r="D30" s="2">
        <v>0.42771999999999999</v>
      </c>
      <c r="E30" s="2">
        <v>1.50078</v>
      </c>
      <c r="F30" s="2">
        <v>-30.43478</v>
      </c>
      <c r="G30" s="2">
        <v>5.2333333333333334</v>
      </c>
      <c r="H30" s="2">
        <v>-1.20482</v>
      </c>
      <c r="I30" s="8">
        <v>413.99700000000001</v>
      </c>
      <c r="J30">
        <v>3.1742476666666665E-2</v>
      </c>
      <c r="K30">
        <v>3.2455742666666669E-2</v>
      </c>
      <c r="L30">
        <f t="shared" si="0"/>
        <v>3.1742476666666666</v>
      </c>
      <c r="M30">
        <f t="shared" si="0"/>
        <v>3.2455742666666669</v>
      </c>
      <c r="N30">
        <v>3.4899999999999998</v>
      </c>
      <c r="O30" t="e">
        <f t="shared" si="3"/>
        <v>#REF!</v>
      </c>
      <c r="P30" s="2">
        <f>H30-H26</f>
        <v>-1.8008500000000001</v>
      </c>
      <c r="Q30" s="7">
        <f>IF(MONTH(A30) = 1, 1, 0)</f>
        <v>1</v>
      </c>
      <c r="R30">
        <f>IF(MONTH(A30) = 4, 1, 0)</f>
        <v>0</v>
      </c>
      <c r="S30">
        <f>IF(MONTH(A30) = 7, 1, 0)</f>
        <v>0</v>
      </c>
      <c r="T30">
        <f>IF(MONTH(A30) = 10, 1, 0)</f>
        <v>0</v>
      </c>
      <c r="U30" s="2">
        <v>0.13059000000000001</v>
      </c>
    </row>
    <row r="31" spans="1:21" x14ac:dyDescent="0.15">
      <c r="A31" s="11">
        <v>35521</v>
      </c>
      <c r="B31" s="2">
        <v>0.63453999999999999</v>
      </c>
      <c r="C31" s="2">
        <v>-1.4795199999999999</v>
      </c>
      <c r="D31" s="2">
        <v>4.2590000000000003E-2</v>
      </c>
      <c r="E31" s="2">
        <v>0.70186999999999999</v>
      </c>
      <c r="F31" s="2">
        <v>31.25</v>
      </c>
      <c r="G31" s="2">
        <v>5</v>
      </c>
      <c r="H31" s="2">
        <v>-2.3071899999999999</v>
      </c>
      <c r="I31" s="8">
        <v>422.38900000000001</v>
      </c>
      <c r="J31">
        <v>3.1893510666666659E-2</v>
      </c>
      <c r="K31">
        <v>3.3250242666666666E-2</v>
      </c>
      <c r="L31">
        <f t="shared" si="0"/>
        <v>3.1893510666666658</v>
      </c>
      <c r="M31">
        <f t="shared" si="0"/>
        <v>3.3250242666666665</v>
      </c>
      <c r="N31">
        <v>3.44</v>
      </c>
      <c r="O31" t="e">
        <f t="shared" si="3"/>
        <v>#REF!</v>
      </c>
      <c r="P31" s="2">
        <f>H31-H27</f>
        <v>-2.7021899999999999</v>
      </c>
      <c r="Q31" s="7">
        <f>IF(MONTH(A31) = 1, 1, 0)</f>
        <v>0</v>
      </c>
      <c r="R31">
        <f>IF(MONTH(A31) = 4, 1, 0)</f>
        <v>1</v>
      </c>
      <c r="S31">
        <f>IF(MONTH(A31) = 7, 1, 0)</f>
        <v>0</v>
      </c>
      <c r="T31">
        <f>IF(MONTH(A31) = 10, 1, 0)</f>
        <v>0</v>
      </c>
      <c r="U31" s="2">
        <v>-0.32767000000000002</v>
      </c>
    </row>
    <row r="32" spans="1:21" x14ac:dyDescent="0.15">
      <c r="A32" s="11">
        <v>35612</v>
      </c>
      <c r="B32" s="2">
        <v>0.4335</v>
      </c>
      <c r="C32" s="2">
        <v>0.10727</v>
      </c>
      <c r="D32" s="2">
        <v>0.57471000000000005</v>
      </c>
      <c r="E32" s="2">
        <v>1.9727399999999999</v>
      </c>
      <c r="F32" s="2">
        <v>-57.142859999999999</v>
      </c>
      <c r="G32" s="2">
        <v>4.8666666666666671</v>
      </c>
      <c r="H32" s="2">
        <v>-0.37112000000000001</v>
      </c>
      <c r="I32" s="8">
        <v>443.322</v>
      </c>
      <c r="J32">
        <v>3.0243427999999999E-2</v>
      </c>
      <c r="K32">
        <v>3.1583393333333341E-2</v>
      </c>
      <c r="L32">
        <f t="shared" si="0"/>
        <v>3.0243427999999999</v>
      </c>
      <c r="M32">
        <f t="shared" si="0"/>
        <v>3.1583393333333341</v>
      </c>
      <c r="N32">
        <v>3.5500000000000003</v>
      </c>
      <c r="O32" t="e">
        <f t="shared" si="3"/>
        <v>#REF!</v>
      </c>
      <c r="P32" s="2">
        <f>H32-H28</f>
        <v>0.25183</v>
      </c>
      <c r="Q32" s="7">
        <f>IF(MONTH(A32) = 1, 1, 0)</f>
        <v>0</v>
      </c>
      <c r="R32">
        <f>IF(MONTH(A32) = 4, 1, 0)</f>
        <v>0</v>
      </c>
      <c r="S32">
        <f>IF(MONTH(A32) = 7, 1, 0)</f>
        <v>1</v>
      </c>
      <c r="T32">
        <f>IF(MONTH(A32) = 10, 1, 0)</f>
        <v>0</v>
      </c>
      <c r="U32" s="2">
        <v>0.86890999999999996</v>
      </c>
    </row>
    <row r="33" spans="1:21" x14ac:dyDescent="0.15">
      <c r="A33" s="11">
        <v>35704</v>
      </c>
      <c r="B33" s="2">
        <v>0.56896000000000002</v>
      </c>
      <c r="C33" s="2">
        <v>0.66969999999999996</v>
      </c>
      <c r="D33" s="2">
        <v>0.61375999999999997</v>
      </c>
      <c r="E33" s="2">
        <v>1.51397</v>
      </c>
      <c r="F33" s="2">
        <v>44.44444</v>
      </c>
      <c r="G33" s="2">
        <v>4.666666666666667</v>
      </c>
      <c r="H33" s="2">
        <v>-0.47409000000000001</v>
      </c>
      <c r="I33" s="8">
        <v>415.22699999999998</v>
      </c>
      <c r="J33">
        <v>2.9521174333333334E-2</v>
      </c>
      <c r="K33">
        <v>3.0661783666666668E-2</v>
      </c>
      <c r="L33">
        <f t="shared" si="0"/>
        <v>2.9521174333333335</v>
      </c>
      <c r="M33">
        <f t="shared" si="0"/>
        <v>3.0661783666666667</v>
      </c>
      <c r="N33">
        <v>3.686666666666667</v>
      </c>
      <c r="O33" t="e">
        <f t="shared" si="3"/>
        <v>#REF!</v>
      </c>
      <c r="P33" s="2">
        <f>H33-H29</f>
        <v>-1.79379</v>
      </c>
      <c r="Q33" s="7">
        <f>IF(MONTH(A33) = 1, 1, 0)</f>
        <v>0</v>
      </c>
      <c r="R33">
        <f>IF(MONTH(A33) = 4, 1, 0)</f>
        <v>0</v>
      </c>
      <c r="S33">
        <f>IF(MONTH(A33) = 7, 1, 0)</f>
        <v>0</v>
      </c>
      <c r="T33">
        <f>IF(MONTH(A33) = 10, 1, 0)</f>
        <v>1</v>
      </c>
      <c r="U33" s="2">
        <v>9.1079999999999994E-2</v>
      </c>
    </row>
    <row r="34" spans="1:21" x14ac:dyDescent="0.15">
      <c r="A34" s="11">
        <v>35796</v>
      </c>
      <c r="B34" s="2">
        <v>0.60475999999999996</v>
      </c>
      <c r="C34" s="2">
        <v>-2.3948900000000002</v>
      </c>
      <c r="D34" s="2">
        <v>0.75726000000000004</v>
      </c>
      <c r="E34" s="2">
        <v>1.01878</v>
      </c>
      <c r="F34" s="2">
        <v>-7.69231</v>
      </c>
      <c r="G34" s="2">
        <v>4.6333333333333329</v>
      </c>
      <c r="H34" s="2">
        <v>-3.0282399999999998</v>
      </c>
      <c r="I34" s="8">
        <v>423.71499999999997</v>
      </c>
      <c r="J34">
        <v>2.7487349333333338E-2</v>
      </c>
      <c r="K34">
        <v>2.9368389999999998E-2</v>
      </c>
      <c r="L34">
        <f t="shared" si="0"/>
        <v>2.748734933333334</v>
      </c>
      <c r="M34">
        <f t="shared" si="0"/>
        <v>2.936839</v>
      </c>
      <c r="N34">
        <v>3.7966666666666669</v>
      </c>
      <c r="O34" t="e">
        <f t="shared" si="3"/>
        <v>#REF!</v>
      </c>
      <c r="P34" s="2">
        <f>H34-H30</f>
        <v>-1.8234199999999998</v>
      </c>
      <c r="Q34" s="7">
        <f>IF(MONTH(A34) = 1, 1, 0)</f>
        <v>1</v>
      </c>
      <c r="R34">
        <f>IF(MONTH(A34) = 4, 1, 0)</f>
        <v>0</v>
      </c>
      <c r="S34">
        <f>IF(MONTH(A34) = 7, 1, 0)</f>
        <v>0</v>
      </c>
      <c r="T34">
        <f>IF(MONTH(A34) = 10, 1, 0)</f>
        <v>0</v>
      </c>
      <c r="U34" s="2">
        <v>1.27284</v>
      </c>
    </row>
    <row r="35" spans="1:21" x14ac:dyDescent="0.15">
      <c r="A35" s="11">
        <v>35886</v>
      </c>
      <c r="B35" s="2">
        <v>0.56233999999999995</v>
      </c>
      <c r="C35" s="2">
        <v>-0.13630999999999999</v>
      </c>
      <c r="D35" s="2">
        <v>0.25052000000000002</v>
      </c>
      <c r="E35" s="2">
        <v>1.9441900000000001</v>
      </c>
      <c r="F35" s="2">
        <v>0</v>
      </c>
      <c r="G35" s="2">
        <v>4.4000000000000004</v>
      </c>
      <c r="H35" s="2">
        <v>-1.5087699999999999</v>
      </c>
      <c r="I35" s="8">
        <v>353.64600000000002</v>
      </c>
      <c r="J35">
        <v>2.6122002000000002E-2</v>
      </c>
      <c r="K35">
        <v>2.939082933333333E-2</v>
      </c>
      <c r="L35">
        <f t="shared" si="0"/>
        <v>2.6122002000000002</v>
      </c>
      <c r="M35">
        <f t="shared" si="0"/>
        <v>2.9390829333333328</v>
      </c>
      <c r="N35">
        <v>3.813333333333333</v>
      </c>
      <c r="O35" t="e">
        <f t="shared" si="3"/>
        <v>#REF!</v>
      </c>
      <c r="P35" s="2">
        <f>H35-H31</f>
        <v>0.79841999999999991</v>
      </c>
      <c r="Q35" s="7">
        <f>IF(MONTH(A35) = 1, 1, 0)</f>
        <v>0</v>
      </c>
      <c r="R35">
        <f>IF(MONTH(A35) = 4, 1, 0)</f>
        <v>1</v>
      </c>
      <c r="S35">
        <f>IF(MONTH(A35) = 7, 1, 0)</f>
        <v>0</v>
      </c>
      <c r="T35">
        <f>IF(MONTH(A35) = 10, 1, 0)</f>
        <v>0</v>
      </c>
      <c r="U35" s="2">
        <v>3.2958099999999999</v>
      </c>
    </row>
    <row r="36" spans="1:21" x14ac:dyDescent="0.15">
      <c r="A36" s="11">
        <v>35977</v>
      </c>
      <c r="B36" s="2">
        <v>0.59775999999999996</v>
      </c>
      <c r="C36" s="2">
        <v>-1.1193</v>
      </c>
      <c r="D36" s="2">
        <v>0.49979000000000001</v>
      </c>
      <c r="E36" s="2">
        <v>1.6167800000000001</v>
      </c>
      <c r="F36" s="2">
        <v>16.66667</v>
      </c>
      <c r="G36" s="2">
        <v>4.5333333333333332</v>
      </c>
      <c r="H36" s="2">
        <v>-1.4962599999999999</v>
      </c>
      <c r="I36" s="8">
        <v>360.22800000000001</v>
      </c>
      <c r="J36">
        <v>2.6607547333333332E-2</v>
      </c>
      <c r="K36">
        <v>2.8607493333333334E-2</v>
      </c>
      <c r="L36">
        <f t="shared" si="0"/>
        <v>2.660754733333333</v>
      </c>
      <c r="M36">
        <f t="shared" si="0"/>
        <v>2.8607493333333336</v>
      </c>
      <c r="N36">
        <v>3.76</v>
      </c>
      <c r="O36" t="e">
        <f t="shared" si="3"/>
        <v>#REF!</v>
      </c>
      <c r="P36" s="2">
        <f>H36-H32</f>
        <v>-1.12514</v>
      </c>
      <c r="Q36" s="7">
        <f>IF(MONTH(A36) = 1, 1, 0)</f>
        <v>0</v>
      </c>
      <c r="R36">
        <f>IF(MONTH(A36) = 4, 1, 0)</f>
        <v>0</v>
      </c>
      <c r="S36">
        <f>IF(MONTH(A36) = 7, 1, 0)</f>
        <v>1</v>
      </c>
      <c r="T36">
        <f>IF(MONTH(A36) = 10, 1, 0)</f>
        <v>0</v>
      </c>
      <c r="U36" s="2">
        <v>5.4645900000000003</v>
      </c>
    </row>
    <row r="37" spans="1:21" x14ac:dyDescent="0.15">
      <c r="A37" s="11">
        <v>36069</v>
      </c>
      <c r="B37" s="2">
        <v>0.55588000000000004</v>
      </c>
      <c r="C37" s="2">
        <v>-0.66261999999999999</v>
      </c>
      <c r="D37" s="2">
        <v>0.78739999999999999</v>
      </c>
      <c r="E37" s="2">
        <v>1.7102900000000001</v>
      </c>
      <c r="F37" s="2">
        <v>-7.1428599999999998</v>
      </c>
      <c r="G37" s="2">
        <v>4.4333333333333336</v>
      </c>
      <c r="H37" s="2">
        <v>-0.50632999999999995</v>
      </c>
      <c r="I37" s="8">
        <v>416.738</v>
      </c>
      <c r="J37">
        <v>2.3254917333333333E-2</v>
      </c>
      <c r="K37">
        <v>2.4843892333333329E-2</v>
      </c>
      <c r="L37">
        <f t="shared" si="0"/>
        <v>2.3254917333333331</v>
      </c>
      <c r="M37">
        <f t="shared" si="0"/>
        <v>2.4843892333333328</v>
      </c>
      <c r="N37">
        <v>3.7366666666666668</v>
      </c>
      <c r="O37" t="e">
        <f t="shared" si="3"/>
        <v>#REF!</v>
      </c>
      <c r="P37" s="2">
        <f>H37-H33</f>
        <v>-3.2239999999999935E-2</v>
      </c>
      <c r="Q37" s="7">
        <f>IF(MONTH(A37) = 1, 1, 0)</f>
        <v>0</v>
      </c>
      <c r="R37">
        <f>IF(MONTH(A37) = 4, 1, 0)</f>
        <v>0</v>
      </c>
      <c r="S37">
        <f>IF(MONTH(A37) = 7, 1, 0)</f>
        <v>0</v>
      </c>
      <c r="T37">
        <f>IF(MONTH(A37) = 10, 1, 0)</f>
        <v>1</v>
      </c>
      <c r="U37" s="2">
        <v>-2.1482100000000002</v>
      </c>
    </row>
    <row r="38" spans="1:21" x14ac:dyDescent="0.15">
      <c r="A38" s="11">
        <v>36161</v>
      </c>
      <c r="B38" s="2">
        <v>0.43842999999999999</v>
      </c>
      <c r="C38" s="2">
        <v>0.30573</v>
      </c>
      <c r="D38" s="2">
        <v>0.78125</v>
      </c>
      <c r="E38" s="2">
        <v>1.22424</v>
      </c>
      <c r="F38" s="2">
        <v>-23.076920000000001</v>
      </c>
      <c r="G38" s="2">
        <v>4.3</v>
      </c>
      <c r="H38" s="2">
        <v>-0.39984999999999998</v>
      </c>
      <c r="I38" s="8">
        <v>423.61700000000002</v>
      </c>
      <c r="J38">
        <v>2.5083721333333333E-2</v>
      </c>
      <c r="K38">
        <v>2.6671926000000002E-2</v>
      </c>
      <c r="L38">
        <f t="shared" si="0"/>
        <v>2.5083721333333333</v>
      </c>
      <c r="M38">
        <f t="shared" si="0"/>
        <v>2.6671926000000004</v>
      </c>
      <c r="N38">
        <v>3.98</v>
      </c>
      <c r="O38" t="e">
        <f t="shared" si="3"/>
        <v>#REF!</v>
      </c>
      <c r="P38" s="2">
        <f>H38-H34</f>
        <v>2.62839</v>
      </c>
      <c r="Q38" s="7">
        <f>IF(MONTH(A38) = 1, 1, 0)</f>
        <v>1</v>
      </c>
      <c r="R38">
        <f>IF(MONTH(A38) = 4, 1, 0)</f>
        <v>0</v>
      </c>
      <c r="S38">
        <f>IF(MONTH(A38) = 7, 1, 0)</f>
        <v>0</v>
      </c>
      <c r="T38">
        <f>IF(MONTH(A38) = 10, 1, 0)</f>
        <v>0</v>
      </c>
      <c r="U38" s="2">
        <v>-0.57867000000000002</v>
      </c>
    </row>
    <row r="39" spans="1:21" x14ac:dyDescent="0.15">
      <c r="A39" s="11">
        <v>36251</v>
      </c>
      <c r="B39" s="2">
        <v>0.47447</v>
      </c>
      <c r="C39" s="2">
        <v>-0.19395999999999999</v>
      </c>
      <c r="D39" s="2">
        <v>0.10199999999999999</v>
      </c>
      <c r="E39" s="2">
        <v>2.1074899999999999</v>
      </c>
      <c r="F39" s="2">
        <v>40</v>
      </c>
      <c r="G39" s="2">
        <v>4.2666666666666666</v>
      </c>
      <c r="H39" s="2">
        <v>1.6058399999999999</v>
      </c>
      <c r="I39" s="8">
        <v>435.70100000000002</v>
      </c>
      <c r="J39">
        <v>2.5968042333333333E-2</v>
      </c>
      <c r="K39">
        <v>2.8608256666666665E-2</v>
      </c>
      <c r="L39">
        <f t="shared" si="0"/>
        <v>2.5968042333333332</v>
      </c>
      <c r="M39">
        <f t="shared" si="0"/>
        <v>2.8608256666666665</v>
      </c>
      <c r="N39">
        <v>3.8466666666666662</v>
      </c>
      <c r="O39" t="e">
        <f t="shared" si="3"/>
        <v>#REF!</v>
      </c>
      <c r="P39" s="2">
        <f>H39-H35</f>
        <v>3.1146099999999999</v>
      </c>
      <c r="Q39" s="7">
        <f>IF(MONTH(A39) = 1, 1, 0)</f>
        <v>0</v>
      </c>
      <c r="R39">
        <f>IF(MONTH(A39) = 4, 1, 0)</f>
        <v>1</v>
      </c>
      <c r="S39">
        <f>IF(MONTH(A39) = 7, 1, 0)</f>
        <v>0</v>
      </c>
      <c r="T39">
        <f>IF(MONTH(A39) = 10, 1, 0)</f>
        <v>0</v>
      </c>
      <c r="U39" s="2">
        <v>-0.13477</v>
      </c>
    </row>
    <row r="40" spans="1:21" x14ac:dyDescent="0.15">
      <c r="A40" s="11">
        <v>36342</v>
      </c>
      <c r="B40" s="2">
        <v>0.52890000000000004</v>
      </c>
      <c r="C40" s="2">
        <v>0.83287</v>
      </c>
      <c r="D40" s="2">
        <v>0.38719999999999999</v>
      </c>
      <c r="E40" s="2">
        <v>1.68041</v>
      </c>
      <c r="F40" s="2">
        <v>7.1428599999999998</v>
      </c>
      <c r="G40" s="2">
        <v>4.2333333333333334</v>
      </c>
      <c r="H40" s="2">
        <v>2.15517</v>
      </c>
      <c r="I40" s="8">
        <v>451.49200000000002</v>
      </c>
      <c r="J40">
        <v>2.7673423000000003E-2</v>
      </c>
      <c r="K40">
        <v>3.0533912999999999E-2</v>
      </c>
      <c r="L40">
        <f t="shared" si="0"/>
        <v>2.7673423000000001</v>
      </c>
      <c r="M40">
        <f t="shared" si="0"/>
        <v>3.0533912999999999</v>
      </c>
      <c r="N40">
        <v>3.7900000000000005</v>
      </c>
      <c r="O40" t="e">
        <f t="shared" si="3"/>
        <v>#REF!</v>
      </c>
      <c r="P40" s="2">
        <f>H40-H36</f>
        <v>3.65143</v>
      </c>
      <c r="Q40" s="7">
        <f>IF(MONTH(A40) = 1, 1, 0)</f>
        <v>0</v>
      </c>
      <c r="R40">
        <f>IF(MONTH(A40) = 4, 1, 0)</f>
        <v>0</v>
      </c>
      <c r="S40">
        <f>IF(MONTH(A40) = 7, 1, 0)</f>
        <v>1</v>
      </c>
      <c r="T40">
        <f>IF(MONTH(A40) = 10, 1, 0)</f>
        <v>0</v>
      </c>
      <c r="U40" s="2">
        <v>-1.1039000000000001</v>
      </c>
    </row>
    <row r="41" spans="1:21" x14ac:dyDescent="0.15">
      <c r="A41" s="11">
        <v>36434</v>
      </c>
      <c r="B41" s="2">
        <v>0.56369999999999998</v>
      </c>
      <c r="C41" s="2">
        <v>0.74339</v>
      </c>
      <c r="D41" s="2">
        <v>0.62931000000000004</v>
      </c>
      <c r="E41" s="2">
        <v>2.0788199999999999</v>
      </c>
      <c r="F41" s="2">
        <v>26.66667</v>
      </c>
      <c r="G41" s="2">
        <v>4.0666666666666664</v>
      </c>
      <c r="H41" s="2">
        <v>2.0042200000000001</v>
      </c>
      <c r="I41" s="8">
        <v>492.98599999999999</v>
      </c>
      <c r="J41">
        <v>3.0087436666666665E-2</v>
      </c>
      <c r="K41">
        <v>3.1671528999999997E-2</v>
      </c>
      <c r="L41">
        <f t="shared" si="0"/>
        <v>3.0087436666666667</v>
      </c>
      <c r="M41">
        <f t="shared" si="0"/>
        <v>3.1671528999999996</v>
      </c>
      <c r="N41">
        <v>3.8733333333333335</v>
      </c>
      <c r="O41" t="e">
        <f t="shared" si="3"/>
        <v>#REF!</v>
      </c>
      <c r="P41" s="2">
        <f>H41-H37</f>
        <v>2.5105500000000003</v>
      </c>
      <c r="Q41" s="7">
        <f>IF(MONTH(A41) = 1, 1, 0)</f>
        <v>0</v>
      </c>
      <c r="R41">
        <f>IF(MONTH(A41) = 4, 1, 0)</f>
        <v>0</v>
      </c>
      <c r="S41">
        <f>IF(MONTH(A41) = 7, 1, 0)</f>
        <v>0</v>
      </c>
      <c r="T41">
        <f>IF(MONTH(A41) = 10, 1, 0)</f>
        <v>1</v>
      </c>
      <c r="U41" s="2">
        <v>2.6829499999999999</v>
      </c>
    </row>
    <row r="42" spans="1:21" x14ac:dyDescent="0.15">
      <c r="A42" s="11">
        <v>36526</v>
      </c>
      <c r="B42" s="2">
        <v>0.65395999999999999</v>
      </c>
      <c r="C42" s="2">
        <v>0.57393000000000005</v>
      </c>
      <c r="D42" s="2">
        <v>0.64554999999999996</v>
      </c>
      <c r="E42" s="2">
        <v>2.3380100000000001</v>
      </c>
      <c r="F42" s="2">
        <v>10.52632</v>
      </c>
      <c r="G42" s="2">
        <v>4.0333333333333332</v>
      </c>
      <c r="H42" s="2">
        <v>2.5163700000000002</v>
      </c>
      <c r="I42" s="8">
        <v>455.56900000000002</v>
      </c>
      <c r="J42">
        <v>3.1587374666666668E-2</v>
      </c>
      <c r="K42">
        <v>3.3172853333333335E-2</v>
      </c>
      <c r="L42">
        <f t="shared" si="0"/>
        <v>3.1587374666666665</v>
      </c>
      <c r="M42">
        <f t="shared" si="0"/>
        <v>3.3172853333333334</v>
      </c>
      <c r="N42">
        <v>4.083333333333333</v>
      </c>
      <c r="O42" t="e">
        <f t="shared" si="3"/>
        <v>#REF!</v>
      </c>
      <c r="P42" s="2">
        <f>H42-H38</f>
        <v>2.91622</v>
      </c>
      <c r="Q42" s="7">
        <f>IF(MONTH(A42) = 1, 1, 0)</f>
        <v>1</v>
      </c>
      <c r="R42">
        <f>IF(MONTH(A42) = 4, 1, 0)</f>
        <v>0</v>
      </c>
      <c r="S42">
        <f>IF(MONTH(A42) = 7, 1, 0)</f>
        <v>0</v>
      </c>
      <c r="T42">
        <f>IF(MONTH(A42) = 10, 1, 0)</f>
        <v>0</v>
      </c>
      <c r="U42" s="2">
        <v>4.4103199999999996</v>
      </c>
    </row>
    <row r="43" spans="1:21" x14ac:dyDescent="0.15">
      <c r="A43" s="11">
        <v>36617</v>
      </c>
      <c r="B43" s="2">
        <v>0.63114999999999999</v>
      </c>
      <c r="C43" s="2">
        <v>1.79348</v>
      </c>
      <c r="D43" s="2">
        <v>0.46100999999999998</v>
      </c>
      <c r="E43" s="2">
        <v>1.4152800000000001</v>
      </c>
      <c r="F43" s="2">
        <v>-33.333329999999997</v>
      </c>
      <c r="G43" s="2">
        <v>3.9333333333333331</v>
      </c>
      <c r="H43" s="2">
        <v>3.3619999999999997E-2</v>
      </c>
      <c r="I43" s="8">
        <v>571.40700000000004</v>
      </c>
      <c r="J43">
        <v>3.4111668333333324E-2</v>
      </c>
      <c r="K43">
        <v>3.2589821999999997E-2</v>
      </c>
      <c r="L43">
        <f t="shared" si="0"/>
        <v>3.4111668333333323</v>
      </c>
      <c r="M43">
        <f t="shared" si="0"/>
        <v>3.2589821999999997</v>
      </c>
      <c r="N43">
        <v>3.8800000000000003</v>
      </c>
      <c r="O43">
        <f t="shared" ref="O43:O101" si="4">N43-N39</f>
        <v>3.3333333333334103E-2</v>
      </c>
      <c r="P43" s="2">
        <f>H43-H39</f>
        <v>-1.57222</v>
      </c>
      <c r="Q43" s="7">
        <f>IF(MONTH(A43) = 1, 1, 0)</f>
        <v>0</v>
      </c>
      <c r="R43">
        <f>IF(MONTH(A43) = 4, 1, 0)</f>
        <v>1</v>
      </c>
      <c r="S43">
        <f>IF(MONTH(A43) = 7, 1, 0)</f>
        <v>0</v>
      </c>
      <c r="T43">
        <f>IF(MONTH(A43) = 10, 1, 0)</f>
        <v>0</v>
      </c>
      <c r="U43" s="2">
        <v>4.0721699999999998</v>
      </c>
    </row>
    <row r="44" spans="1:21" x14ac:dyDescent="0.15">
      <c r="A44" s="11">
        <v>36708</v>
      </c>
      <c r="B44" s="2">
        <v>0.66408</v>
      </c>
      <c r="C44" s="2">
        <v>4.0309699999999999</v>
      </c>
      <c r="D44" s="2">
        <v>0.89785000000000004</v>
      </c>
      <c r="E44" s="2">
        <v>1.61008</v>
      </c>
      <c r="F44" s="2">
        <v>35.714289999999998</v>
      </c>
      <c r="G44" s="2">
        <v>4</v>
      </c>
      <c r="H44" s="2">
        <v>1.5798300000000001</v>
      </c>
      <c r="I44" s="8">
        <v>474.286</v>
      </c>
      <c r="J44">
        <v>3.1279634666666667E-2</v>
      </c>
      <c r="K44">
        <v>3.0476560666666666E-2</v>
      </c>
      <c r="L44">
        <f t="shared" si="0"/>
        <v>3.1279634666666665</v>
      </c>
      <c r="M44">
        <f t="shared" si="0"/>
        <v>3.0476560666666668</v>
      </c>
      <c r="N44">
        <v>3.7166666666666668</v>
      </c>
      <c r="O44">
        <f t="shared" si="4"/>
        <v>-7.3333333333333695E-2</v>
      </c>
      <c r="P44" s="2">
        <f>H44-H40</f>
        <v>-0.57533999999999996</v>
      </c>
      <c r="Q44" s="7">
        <f>IF(MONTH(A44) = 1, 1, 0)</f>
        <v>0</v>
      </c>
      <c r="R44">
        <f>IF(MONTH(A44) = 4, 1, 0)</f>
        <v>0</v>
      </c>
      <c r="S44">
        <f>IF(MONTH(A44) = 7, 1, 0)</f>
        <v>1</v>
      </c>
      <c r="T44">
        <f>IF(MONTH(A44) = 10, 1, 0)</f>
        <v>0</v>
      </c>
      <c r="U44" s="2">
        <v>-0.38634000000000002</v>
      </c>
    </row>
    <row r="45" spans="1:21" x14ac:dyDescent="0.15">
      <c r="A45" s="11">
        <v>36800</v>
      </c>
      <c r="B45" s="2">
        <v>0.60472999999999999</v>
      </c>
      <c r="C45" s="2">
        <v>3.6438299999999999</v>
      </c>
      <c r="D45" s="2">
        <v>0.45482</v>
      </c>
      <c r="E45" s="2">
        <v>1.44624</v>
      </c>
      <c r="F45" s="2">
        <v>5.2631600000000001</v>
      </c>
      <c r="G45" s="2">
        <v>3.9</v>
      </c>
      <c r="H45" s="2">
        <v>0.23163</v>
      </c>
      <c r="I45" s="8">
        <v>375.101</v>
      </c>
      <c r="J45">
        <v>3.1241631000000002E-2</v>
      </c>
      <c r="K45">
        <v>2.9310508333333332E-2</v>
      </c>
      <c r="L45">
        <f t="shared" si="0"/>
        <v>3.1241631000000001</v>
      </c>
      <c r="M45">
        <f t="shared" si="0"/>
        <v>2.9310508333333334</v>
      </c>
      <c r="N45">
        <v>3.6033333333333331</v>
      </c>
      <c r="O45">
        <f t="shared" si="4"/>
        <v>-0.27000000000000046</v>
      </c>
      <c r="P45" s="2">
        <f>H45-H41</f>
        <v>-1.7725900000000001</v>
      </c>
      <c r="Q45" s="7">
        <f>IF(MONTH(A45) = 1, 1, 0)</f>
        <v>0</v>
      </c>
      <c r="R45">
        <f>IF(MONTH(A45) = 4, 1, 0)</f>
        <v>0</v>
      </c>
      <c r="S45">
        <f>IF(MONTH(A45) = 7, 1, 0)</f>
        <v>0</v>
      </c>
      <c r="T45">
        <f>IF(MONTH(A45) = 10, 1, 0)</f>
        <v>1</v>
      </c>
      <c r="U45" s="2">
        <v>0.92164000000000001</v>
      </c>
    </row>
    <row r="46" spans="1:21" x14ac:dyDescent="0.15">
      <c r="A46" s="11">
        <v>36892</v>
      </c>
      <c r="B46" s="2">
        <v>0.72860000000000003</v>
      </c>
      <c r="C46" s="2">
        <v>8.7645499999999998</v>
      </c>
      <c r="D46" s="2">
        <v>1.1614199999999999</v>
      </c>
      <c r="E46" s="2">
        <v>1.1086100000000001</v>
      </c>
      <c r="F46" s="2">
        <v>30</v>
      </c>
      <c r="G46" s="2">
        <v>4.2333333333333334</v>
      </c>
      <c r="H46" s="2">
        <v>-1.3866000000000001</v>
      </c>
      <c r="I46" s="8">
        <v>318.06700000000001</v>
      </c>
      <c r="J46">
        <v>2.4760114E-2</v>
      </c>
      <c r="K46">
        <v>2.5579322333333331E-2</v>
      </c>
      <c r="L46">
        <f t="shared" si="0"/>
        <v>2.4760114</v>
      </c>
      <c r="M46">
        <f t="shared" si="0"/>
        <v>2.5579322333333332</v>
      </c>
      <c r="N46">
        <v>1.3257450316354198</v>
      </c>
      <c r="O46">
        <f t="shared" si="4"/>
        <v>-2.757588301697913</v>
      </c>
      <c r="P46" s="2">
        <f>H46-H42</f>
        <v>-3.9029700000000003</v>
      </c>
      <c r="Q46" s="7">
        <f>IF(MONTH(A46) = 1, 1, 0)</f>
        <v>1</v>
      </c>
      <c r="R46">
        <f>IF(MONTH(A46) = 4, 1, 0)</f>
        <v>0</v>
      </c>
      <c r="S46">
        <f>IF(MONTH(A46) = 7, 1, 0)</f>
        <v>0</v>
      </c>
      <c r="T46">
        <f>IF(MONTH(A46) = 10, 1, 0)</f>
        <v>0</v>
      </c>
      <c r="U46" s="2">
        <v>1.4056999999999999</v>
      </c>
    </row>
    <row r="47" spans="1:21" x14ac:dyDescent="0.15">
      <c r="A47" s="11">
        <v>36982</v>
      </c>
      <c r="B47" s="2">
        <v>0.61482999999999999</v>
      </c>
      <c r="C47" s="2">
        <v>-0.61460999999999999</v>
      </c>
      <c r="D47" s="2">
        <v>0.68106999999999995</v>
      </c>
      <c r="E47" s="2">
        <v>0.67093000000000003</v>
      </c>
      <c r="F47" s="2">
        <v>-42.307690000000001</v>
      </c>
      <c r="G47" s="2">
        <v>4.4000000000000004</v>
      </c>
      <c r="H47" s="2">
        <v>-1.7743599999999999</v>
      </c>
      <c r="I47" s="8">
        <v>207.03800000000001</v>
      </c>
      <c r="J47">
        <v>2.6780914999999999E-2</v>
      </c>
      <c r="K47">
        <v>2.7313428333333334E-2</v>
      </c>
      <c r="L47">
        <f t="shared" si="0"/>
        <v>2.6780914999999998</v>
      </c>
      <c r="M47">
        <f t="shared" si="0"/>
        <v>2.7313428333333336</v>
      </c>
      <c r="N47">
        <v>1.3517296193808708</v>
      </c>
      <c r="O47">
        <f t="shared" si="4"/>
        <v>-2.5282703806191296</v>
      </c>
      <c r="P47" s="2">
        <f>H47-H43</f>
        <v>-1.8079799999999999</v>
      </c>
      <c r="Q47" s="7">
        <f>IF(MONTH(A47) = 1, 1, 0)</f>
        <v>0</v>
      </c>
      <c r="R47">
        <f>IF(MONTH(A47) = 4, 1, 0)</f>
        <v>1</v>
      </c>
      <c r="S47">
        <f>IF(MONTH(A47) = 7, 1, 0)</f>
        <v>0</v>
      </c>
      <c r="T47">
        <f>IF(MONTH(A47) = 10, 1, 0)</f>
        <v>0</v>
      </c>
      <c r="U47" s="2">
        <v>-0.61436999999999997</v>
      </c>
    </row>
    <row r="48" spans="1:21" x14ac:dyDescent="0.15">
      <c r="A48" s="11">
        <v>37073</v>
      </c>
      <c r="B48" s="2">
        <v>0.68296000000000001</v>
      </c>
      <c r="C48" s="2">
        <v>-2.6568900000000002</v>
      </c>
      <c r="D48" s="2">
        <v>0.79242000000000001</v>
      </c>
      <c r="E48" s="2">
        <v>0.39901999999999999</v>
      </c>
      <c r="F48" s="2">
        <v>-33.333329999999997</v>
      </c>
      <c r="G48" s="2">
        <v>4.833333333333333</v>
      </c>
      <c r="H48" s="2">
        <v>-1.84049</v>
      </c>
      <c r="I48" s="8">
        <v>123.018</v>
      </c>
      <c r="J48">
        <v>2.796341166666667E-2</v>
      </c>
      <c r="K48">
        <v>2.7474822999999999E-2</v>
      </c>
      <c r="L48">
        <f t="shared" si="0"/>
        <v>2.7963411666666671</v>
      </c>
      <c r="M48">
        <f t="shared" si="0"/>
        <v>2.7474822999999997</v>
      </c>
      <c r="N48">
        <v>1.6089790805953577</v>
      </c>
      <c r="O48">
        <f t="shared" si="4"/>
        <v>-2.1076875860713091</v>
      </c>
      <c r="P48" s="2">
        <f>H48-H44</f>
        <v>-3.4203200000000002</v>
      </c>
      <c r="Q48" s="7">
        <f>IF(MONTH(A48) = 1, 1, 0)</f>
        <v>0</v>
      </c>
      <c r="R48">
        <f>IF(MONTH(A48) = 4, 1, 0)</f>
        <v>0</v>
      </c>
      <c r="S48">
        <f>IF(MONTH(A48) = 7, 1, 0)</f>
        <v>1</v>
      </c>
      <c r="T48">
        <f>IF(MONTH(A48) = 10, 1, 0)</f>
        <v>0</v>
      </c>
      <c r="U48" s="2">
        <v>4.3197999999999999</v>
      </c>
    </row>
    <row r="49" spans="1:21" x14ac:dyDescent="0.15">
      <c r="A49" s="11">
        <v>37165</v>
      </c>
      <c r="B49" s="2">
        <v>0.66047999999999996</v>
      </c>
      <c r="C49" s="2">
        <v>-4.0941200000000002</v>
      </c>
      <c r="D49" s="2">
        <v>0.51773999999999998</v>
      </c>
      <c r="E49" s="2">
        <v>1.6543300000000001</v>
      </c>
      <c r="F49" s="2">
        <v>90</v>
      </c>
      <c r="G49" s="2">
        <v>5.5</v>
      </c>
      <c r="H49" s="2">
        <v>-3.6805599999999998</v>
      </c>
      <c r="I49" s="8">
        <v>69.350999999999999</v>
      </c>
      <c r="J49">
        <v>2.3680020333333333E-2</v>
      </c>
      <c r="K49">
        <v>2.5212699666666668E-2</v>
      </c>
      <c r="L49">
        <f t="shared" si="0"/>
        <v>2.3680020333333331</v>
      </c>
      <c r="M49">
        <f t="shared" si="0"/>
        <v>2.5212699666666669</v>
      </c>
      <c r="N49">
        <v>2.2085304766563558</v>
      </c>
      <c r="O49">
        <f t="shared" si="4"/>
        <v>-1.3948028566769772</v>
      </c>
      <c r="P49" s="2">
        <f>H49-H45</f>
        <v>-3.9121899999999998</v>
      </c>
      <c r="Q49" s="7">
        <f>IF(MONTH(A49) = 1, 1, 0)</f>
        <v>0</v>
      </c>
      <c r="R49">
        <f>IF(MONTH(A49) = 4, 1, 0)</f>
        <v>0</v>
      </c>
      <c r="S49">
        <f>IF(MONTH(A49) = 7, 1, 0)</f>
        <v>0</v>
      </c>
      <c r="T49">
        <f>IF(MONTH(A49) = 10, 1, 0)</f>
        <v>1</v>
      </c>
      <c r="U49" s="2">
        <v>0.39272000000000001</v>
      </c>
    </row>
    <row r="50" spans="1:21" x14ac:dyDescent="0.15">
      <c r="A50" s="11">
        <v>37257</v>
      </c>
      <c r="B50" s="2">
        <v>0.54974000000000001</v>
      </c>
      <c r="C50" s="2">
        <v>-1.1530899999999999</v>
      </c>
      <c r="D50" s="2">
        <v>0.68676000000000004</v>
      </c>
      <c r="E50" s="2">
        <v>0.42342999999999997</v>
      </c>
      <c r="F50" s="2">
        <v>-36.842109999999998</v>
      </c>
      <c r="G50" s="2">
        <v>5.7</v>
      </c>
      <c r="H50" s="2">
        <v>-0.50468999999999997</v>
      </c>
      <c r="I50" s="8">
        <v>168.62799999999999</v>
      </c>
      <c r="J50">
        <v>2.1499735333333336E-2</v>
      </c>
      <c r="K50">
        <v>2.7356563E-2</v>
      </c>
      <c r="L50">
        <f t="shared" si="0"/>
        <v>2.1499735333333336</v>
      </c>
      <c r="M50">
        <f t="shared" si="0"/>
        <v>2.7356563</v>
      </c>
      <c r="N50">
        <v>2.5298899896304969</v>
      </c>
      <c r="O50">
        <f t="shared" si="4"/>
        <v>1.2041449579950771</v>
      </c>
      <c r="P50" s="2">
        <f>H50-H46</f>
        <v>0.88191000000000008</v>
      </c>
      <c r="Q50" s="7">
        <f>IF(MONTH(A50) = 1, 1, 0)</f>
        <v>1</v>
      </c>
      <c r="R50">
        <f>IF(MONTH(A50) = 4, 1, 0)</f>
        <v>0</v>
      </c>
      <c r="S50">
        <f>IF(MONTH(A50) = 7, 1, 0)</f>
        <v>0</v>
      </c>
      <c r="T50">
        <f>IF(MONTH(A50) = 10, 1, 0)</f>
        <v>0</v>
      </c>
      <c r="U50" s="2">
        <v>-8.1620600000000003</v>
      </c>
    </row>
    <row r="51" spans="1:21" x14ac:dyDescent="0.15">
      <c r="A51" s="11">
        <v>37347</v>
      </c>
      <c r="B51" s="2">
        <v>0.51146000000000003</v>
      </c>
      <c r="C51" s="2">
        <v>-0.14892</v>
      </c>
      <c r="D51" s="2">
        <v>0</v>
      </c>
      <c r="E51" s="2">
        <v>1.2501599999999999</v>
      </c>
      <c r="F51" s="2">
        <v>83.333330000000004</v>
      </c>
      <c r="G51" s="2">
        <v>5.833333333333333</v>
      </c>
      <c r="H51" s="2">
        <v>2.4637699999999998</v>
      </c>
      <c r="I51" s="8">
        <v>145.77600000000001</v>
      </c>
      <c r="J51">
        <v>2.5161368666666666E-2</v>
      </c>
      <c r="K51">
        <v>2.8250629999999999E-2</v>
      </c>
      <c r="L51">
        <f t="shared" si="0"/>
        <v>2.5161368666666668</v>
      </c>
      <c r="M51">
        <f t="shared" si="0"/>
        <v>2.8250630000000001</v>
      </c>
      <c r="N51">
        <v>2.3189537512979235</v>
      </c>
      <c r="O51">
        <f t="shared" si="4"/>
        <v>0.9672241319170527</v>
      </c>
      <c r="P51" s="2">
        <f>H51-H47</f>
        <v>4.23813</v>
      </c>
      <c r="Q51" s="7">
        <f>IF(MONTH(A51) = 1, 1, 0)</f>
        <v>0</v>
      </c>
      <c r="R51">
        <f>IF(MONTH(A51) = 4, 1, 0)</f>
        <v>1</v>
      </c>
      <c r="S51">
        <f>IF(MONTH(A51) = 7, 1, 0)</f>
        <v>0</v>
      </c>
      <c r="T51">
        <f>IF(MONTH(A51) = 10, 1, 0)</f>
        <v>0</v>
      </c>
      <c r="U51" s="2">
        <v>-5.85642</v>
      </c>
    </row>
    <row r="52" spans="1:21" x14ac:dyDescent="0.15">
      <c r="A52" s="11">
        <v>37438</v>
      </c>
      <c r="B52" s="2">
        <v>0.52641000000000004</v>
      </c>
      <c r="C52" s="2">
        <v>-0.32313999999999998</v>
      </c>
      <c r="D52" s="2">
        <v>0.11368</v>
      </c>
      <c r="E52" s="2">
        <v>1.2201299999999999</v>
      </c>
      <c r="F52" s="2">
        <v>-4.5454499999999998</v>
      </c>
      <c r="G52" s="2">
        <v>5.7333333333333334</v>
      </c>
      <c r="H52" s="2">
        <v>0.70721000000000001</v>
      </c>
      <c r="I52" s="8">
        <v>242.75</v>
      </c>
      <c r="J52">
        <v>2.1735607666666667E-2</v>
      </c>
      <c r="K52">
        <v>2.4191783999999997E-2</v>
      </c>
      <c r="L52">
        <f t="shared" si="0"/>
        <v>2.1735607666666668</v>
      </c>
      <c r="M52">
        <f t="shared" si="0"/>
        <v>2.4191783999999998</v>
      </c>
      <c r="N52">
        <v>2.3436095718820211</v>
      </c>
      <c r="O52">
        <f t="shared" si="4"/>
        <v>0.73463049128666347</v>
      </c>
      <c r="P52" s="2">
        <f>H52-H48</f>
        <v>2.5476999999999999</v>
      </c>
      <c r="Q52" s="7">
        <f>IF(MONTH(A52) = 1, 1, 0)</f>
        <v>0</v>
      </c>
      <c r="R52">
        <f>IF(MONTH(A52) = 4, 1, 0)</f>
        <v>0</v>
      </c>
      <c r="S52">
        <f>IF(MONTH(A52) = 7, 1, 0)</f>
        <v>1</v>
      </c>
      <c r="T52">
        <f>IF(MONTH(A52) = 10, 1, 0)</f>
        <v>0</v>
      </c>
      <c r="U52" s="2">
        <v>-1.0377400000000001</v>
      </c>
    </row>
    <row r="53" spans="1:21" x14ac:dyDescent="0.15">
      <c r="A53" s="11">
        <v>37530</v>
      </c>
      <c r="B53" s="2">
        <v>0.45383000000000001</v>
      </c>
      <c r="C53" s="2">
        <v>1.4962599999999999</v>
      </c>
      <c r="D53" s="2">
        <v>0.41635</v>
      </c>
      <c r="E53" s="2">
        <v>1.0251699999999999</v>
      </c>
      <c r="F53" s="2">
        <v>-33.333329999999997</v>
      </c>
      <c r="G53" s="2">
        <v>5.8666666666666671</v>
      </c>
      <c r="H53" s="2">
        <v>0.17555999999999999</v>
      </c>
      <c r="I53" s="8">
        <v>252.196</v>
      </c>
      <c r="J53">
        <v>1.9956968000000002E-2</v>
      </c>
      <c r="K53">
        <v>2.2136470000000002E-2</v>
      </c>
      <c r="L53">
        <f t="shared" si="0"/>
        <v>1.9956968000000002</v>
      </c>
      <c r="M53">
        <f t="shared" si="0"/>
        <v>2.2136470000000004</v>
      </c>
      <c r="N53">
        <v>2.6176017015345501</v>
      </c>
      <c r="O53">
        <f t="shared" si="4"/>
        <v>0.40907122487819425</v>
      </c>
      <c r="P53" s="2">
        <f>H53-H49</f>
        <v>3.8561199999999998</v>
      </c>
      <c r="Q53" s="7">
        <f>IF(MONTH(A53) = 1, 1, 0)</f>
        <v>0</v>
      </c>
      <c r="R53">
        <f>IF(MONTH(A53) = 4, 1, 0)</f>
        <v>0</v>
      </c>
      <c r="S53">
        <f>IF(MONTH(A53) = 7, 1, 0)</f>
        <v>0</v>
      </c>
      <c r="T53">
        <f>IF(MONTH(A53) = 10, 1, 0)</f>
        <v>1</v>
      </c>
      <c r="U53" s="2">
        <v>1.484</v>
      </c>
    </row>
    <row r="54" spans="1:21" x14ac:dyDescent="0.15">
      <c r="A54" s="11">
        <v>37622</v>
      </c>
      <c r="B54" s="2">
        <v>0.33015</v>
      </c>
      <c r="C54" s="2">
        <v>4.1031899999999997</v>
      </c>
      <c r="D54" s="2">
        <v>0.71616999999999997</v>
      </c>
      <c r="E54" s="2">
        <v>1.2601</v>
      </c>
      <c r="F54" s="2">
        <v>-14.28571</v>
      </c>
      <c r="G54" s="2">
        <v>5.8666666666666671</v>
      </c>
      <c r="H54" s="2">
        <v>3.2246800000000002</v>
      </c>
      <c r="I54" s="8">
        <v>229.92400000000001</v>
      </c>
      <c r="J54">
        <v>2.0296309666666668E-2</v>
      </c>
      <c r="K54">
        <v>2.1892966333333333E-2</v>
      </c>
      <c r="L54">
        <f t="shared" si="0"/>
        <v>2.0296309666666668</v>
      </c>
      <c r="M54">
        <f t="shared" si="0"/>
        <v>2.1892966333333335</v>
      </c>
      <c r="N54">
        <v>2.9073872293275209</v>
      </c>
      <c r="O54">
        <f t="shared" si="4"/>
        <v>0.37749723969702398</v>
      </c>
      <c r="P54" s="2">
        <f>H54-H50</f>
        <v>3.7293700000000003</v>
      </c>
      <c r="Q54" s="7">
        <f>IF(MONTH(A54) = 1, 1, 0)</f>
        <v>1</v>
      </c>
      <c r="R54">
        <f>IF(MONTH(A54) = 4, 1, 0)</f>
        <v>0</v>
      </c>
      <c r="S54">
        <f>IF(MONTH(A54) = 7, 1, 0)</f>
        <v>0</v>
      </c>
      <c r="T54">
        <f>IF(MONTH(A54) = 10, 1, 0)</f>
        <v>0</v>
      </c>
      <c r="U54" s="2">
        <v>4.8626399999999999</v>
      </c>
    </row>
    <row r="55" spans="1:21" x14ac:dyDescent="0.15">
      <c r="A55" s="11">
        <v>37712</v>
      </c>
      <c r="B55" s="2">
        <v>0.17319000000000001</v>
      </c>
      <c r="C55" s="2">
        <v>3.6818499999999998</v>
      </c>
      <c r="D55" s="2">
        <v>0.4491</v>
      </c>
      <c r="E55" s="2">
        <v>1.2466200000000001</v>
      </c>
      <c r="F55" s="2">
        <v>25</v>
      </c>
      <c r="G55" s="2">
        <v>6.1333333333333329</v>
      </c>
      <c r="H55" s="2">
        <v>-2.3769100000000001</v>
      </c>
      <c r="I55" s="8">
        <v>261.88799999999998</v>
      </c>
      <c r="J55">
        <v>2.0375916999999997E-2</v>
      </c>
      <c r="K55">
        <v>2.0708606666666667E-2</v>
      </c>
      <c r="L55">
        <f t="shared" si="0"/>
        <v>2.0375916999999997</v>
      </c>
      <c r="M55">
        <f t="shared" si="0"/>
        <v>2.0708606666666669</v>
      </c>
      <c r="N55">
        <v>2.6047011590112179</v>
      </c>
      <c r="O55">
        <f t="shared" si="4"/>
        <v>0.28574740771329443</v>
      </c>
      <c r="P55" s="2">
        <f>H55-H51</f>
        <v>-4.8406799999999999</v>
      </c>
      <c r="Q55" s="7">
        <f>IF(MONTH(A55) = 1, 1, 0)</f>
        <v>0</v>
      </c>
      <c r="R55">
        <f>IF(MONTH(A55) = 4, 1, 0)</f>
        <v>1</v>
      </c>
      <c r="S55">
        <f>IF(MONTH(A55) = 7, 1, 0)</f>
        <v>0</v>
      </c>
      <c r="T55">
        <f>IF(MONTH(A55) = 10, 1, 0)</f>
        <v>0</v>
      </c>
      <c r="U55" s="2">
        <v>0.60318000000000005</v>
      </c>
    </row>
    <row r="56" spans="1:21" x14ac:dyDescent="0.15">
      <c r="A56" s="11">
        <v>37803</v>
      </c>
      <c r="B56" s="2">
        <v>0.39765</v>
      </c>
      <c r="C56" s="2">
        <v>0.27316000000000001</v>
      </c>
      <c r="D56" s="2">
        <v>0.74516000000000004</v>
      </c>
      <c r="E56" s="2">
        <v>2.08141</v>
      </c>
      <c r="F56" s="2">
        <v>20</v>
      </c>
      <c r="G56" s="2">
        <v>6.1333333333333329</v>
      </c>
      <c r="H56" s="2">
        <v>0.73043000000000002</v>
      </c>
      <c r="I56" s="8">
        <v>433.41399999999999</v>
      </c>
      <c r="J56">
        <v>1.8198124E-2</v>
      </c>
      <c r="K56">
        <v>2.2198460999999999E-2</v>
      </c>
      <c r="L56">
        <f t="shared" si="0"/>
        <v>1.8198124</v>
      </c>
      <c r="M56">
        <f t="shared" si="0"/>
        <v>2.2198460999999998</v>
      </c>
      <c r="N56">
        <v>2.7526653523195459</v>
      </c>
      <c r="O56">
        <f t="shared" si="4"/>
        <v>0.40905578043752477</v>
      </c>
      <c r="P56" s="2">
        <f>H56-H52</f>
        <v>2.3220000000000018E-2</v>
      </c>
      <c r="Q56" s="7">
        <f>IF(MONTH(A56) = 1, 1, 0)</f>
        <v>0</v>
      </c>
      <c r="R56">
        <f>IF(MONTH(A56) = 4, 1, 0)</f>
        <v>0</v>
      </c>
      <c r="S56">
        <f>IF(MONTH(A56) = 7, 1, 0)</f>
        <v>1</v>
      </c>
      <c r="T56">
        <f>IF(MONTH(A56) = 10, 1, 0)</f>
        <v>0</v>
      </c>
      <c r="U56" s="2">
        <v>-2.89201</v>
      </c>
    </row>
    <row r="57" spans="1:21" x14ac:dyDescent="0.15">
      <c r="A57" s="11">
        <v>37895</v>
      </c>
      <c r="B57" s="2">
        <v>0.25830999999999998</v>
      </c>
      <c r="C57" s="2">
        <v>-0.65834000000000004</v>
      </c>
      <c r="D57" s="2">
        <v>1.27589</v>
      </c>
      <c r="E57" s="2">
        <v>1.1831499999999999</v>
      </c>
      <c r="F57" s="2">
        <v>0</v>
      </c>
      <c r="G57" s="2">
        <v>5.833333333333333</v>
      </c>
      <c r="H57" s="2">
        <v>0.3453</v>
      </c>
      <c r="I57" s="8">
        <v>552.68100000000004</v>
      </c>
      <c r="J57">
        <v>1.9809389333333333E-2</v>
      </c>
      <c r="K57">
        <v>2.2542806999999998E-2</v>
      </c>
      <c r="L57">
        <f t="shared" si="0"/>
        <v>1.9809389333333334</v>
      </c>
      <c r="M57">
        <f t="shared" si="0"/>
        <v>2.2542806999999998</v>
      </c>
      <c r="N57">
        <v>2.6237427442208072</v>
      </c>
      <c r="O57">
        <f t="shared" si="4"/>
        <v>6.1410426862571477E-3</v>
      </c>
      <c r="P57" s="2">
        <f>H57-H53</f>
        <v>0.16974</v>
      </c>
      <c r="Q57" s="7">
        <f>IF(MONTH(A57) = 1, 1, 0)</f>
        <v>0</v>
      </c>
      <c r="R57">
        <f>IF(MONTH(A57) = 4, 1, 0)</f>
        <v>0</v>
      </c>
      <c r="S57">
        <f>IF(MONTH(A57) = 7, 1, 0)</f>
        <v>0</v>
      </c>
      <c r="T57">
        <f>IF(MONTH(A57) = 10, 1, 0)</f>
        <v>1</v>
      </c>
      <c r="U57" s="2">
        <v>-3.48251</v>
      </c>
    </row>
    <row r="58" spans="1:21" x14ac:dyDescent="0.15">
      <c r="A58" s="11">
        <v>37987</v>
      </c>
      <c r="B58" s="2">
        <v>0.48093000000000002</v>
      </c>
      <c r="C58" s="2">
        <v>1.0968899999999999</v>
      </c>
      <c r="D58" s="2">
        <v>0.83987999999999996</v>
      </c>
      <c r="E58" s="2">
        <v>1.70974</v>
      </c>
      <c r="F58" s="2">
        <v>22.22222</v>
      </c>
      <c r="G58" s="2">
        <v>5.7</v>
      </c>
      <c r="H58" s="2">
        <v>2.75292</v>
      </c>
      <c r="I58" s="8">
        <v>572.94100000000003</v>
      </c>
      <c r="J58">
        <v>1.8661496999999999E-2</v>
      </c>
      <c r="K58">
        <v>2.2546310333333333E-2</v>
      </c>
      <c r="L58">
        <f t="shared" si="0"/>
        <v>1.8661496999999998</v>
      </c>
      <c r="M58">
        <f t="shared" si="0"/>
        <v>2.2546310333333333</v>
      </c>
      <c r="N58">
        <v>2.6032336871634048</v>
      </c>
      <c r="O58">
        <f t="shared" si="4"/>
        <v>-0.30415354216411616</v>
      </c>
      <c r="P58" s="2">
        <f>H58-H54</f>
        <v>-0.47176000000000018</v>
      </c>
      <c r="Q58" s="7">
        <f>IF(MONTH(A58) = 1, 1, 0)</f>
        <v>1</v>
      </c>
      <c r="R58">
        <f>IF(MONTH(A58) = 4, 1, 0)</f>
        <v>0</v>
      </c>
      <c r="S58">
        <f>IF(MONTH(A58) = 7, 1, 0)</f>
        <v>0</v>
      </c>
      <c r="T58">
        <f>IF(MONTH(A58) = 10, 1, 0)</f>
        <v>0</v>
      </c>
      <c r="U58" s="2">
        <v>-1.99254</v>
      </c>
    </row>
    <row r="59" spans="1:21" x14ac:dyDescent="0.15">
      <c r="A59" s="11">
        <v>38078</v>
      </c>
      <c r="B59" s="2">
        <v>0.63248000000000004</v>
      </c>
      <c r="C59" s="2">
        <v>0.85894999999999999</v>
      </c>
      <c r="D59" s="2">
        <v>0.83287999999999995</v>
      </c>
      <c r="E59" s="2">
        <v>1.2217199999999999</v>
      </c>
      <c r="F59" s="2">
        <v>4.5454499999999998</v>
      </c>
      <c r="G59" s="2">
        <v>5.6</v>
      </c>
      <c r="H59" s="2">
        <v>1.80844</v>
      </c>
      <c r="I59" s="8">
        <v>617.34500000000003</v>
      </c>
      <c r="J59">
        <v>2.2136490999999998E-2</v>
      </c>
      <c r="K59">
        <v>2.3900448000000001E-2</v>
      </c>
      <c r="L59">
        <f t="shared" si="0"/>
        <v>2.2136490999999996</v>
      </c>
      <c r="M59">
        <f t="shared" si="0"/>
        <v>2.3900448000000001</v>
      </c>
      <c r="N59">
        <v>2.222896676276557</v>
      </c>
      <c r="O59">
        <f t="shared" si="4"/>
        <v>-0.38180448273466094</v>
      </c>
      <c r="P59" s="2">
        <f>H59-H55</f>
        <v>4.1853499999999997</v>
      </c>
      <c r="Q59" s="7">
        <f>IF(MONTH(A59) = 1, 1, 0)</f>
        <v>0</v>
      </c>
      <c r="R59">
        <f>IF(MONTH(A59) = 4, 1, 0)</f>
        <v>1</v>
      </c>
      <c r="S59">
        <f>IF(MONTH(A59) = 7, 1, 0)</f>
        <v>0</v>
      </c>
      <c r="T59">
        <f>IF(MONTH(A59) = 10, 1, 0)</f>
        <v>0</v>
      </c>
      <c r="U59" s="2">
        <v>1.99244</v>
      </c>
    </row>
    <row r="60" spans="1:21" x14ac:dyDescent="0.15">
      <c r="A60" s="11">
        <v>38169</v>
      </c>
      <c r="B60" s="2">
        <v>0.42465999999999998</v>
      </c>
      <c r="C60" s="2">
        <v>2.2859699999999998</v>
      </c>
      <c r="D60" s="2">
        <v>0.61051999999999995</v>
      </c>
      <c r="E60" s="2">
        <v>1.6721699999999999</v>
      </c>
      <c r="F60" s="2">
        <v>-39.130429999999997</v>
      </c>
      <c r="G60" s="2">
        <v>5.4333333333333336</v>
      </c>
      <c r="H60" s="2">
        <v>1.9078900000000001</v>
      </c>
      <c r="I60" s="8">
        <v>546.88499999999999</v>
      </c>
      <c r="J60">
        <v>2.4244902000000002E-2</v>
      </c>
      <c r="K60">
        <v>2.4431247999999999E-2</v>
      </c>
      <c r="L60">
        <f t="shared" si="0"/>
        <v>2.4244902000000002</v>
      </c>
      <c r="M60">
        <f t="shared" si="0"/>
        <v>2.4431248000000001</v>
      </c>
      <c r="N60">
        <v>2.0712333629111277</v>
      </c>
      <c r="O60">
        <f t="shared" si="4"/>
        <v>-0.6814319894084182</v>
      </c>
      <c r="P60" s="2">
        <f>H60-H56</f>
        <v>1.17746</v>
      </c>
      <c r="Q60" s="7">
        <f>IF(MONTH(A60) = 1, 1, 0)</f>
        <v>0</v>
      </c>
      <c r="R60">
        <f>IF(MONTH(A60) = 4, 1, 0)</f>
        <v>0</v>
      </c>
      <c r="S60">
        <f>IF(MONTH(A60) = 7, 1, 0)</f>
        <v>1</v>
      </c>
      <c r="T60">
        <f>IF(MONTH(A60) = 10, 1, 0)</f>
        <v>0</v>
      </c>
      <c r="U60" s="2">
        <v>-0.41041</v>
      </c>
    </row>
    <row r="61" spans="1:21" x14ac:dyDescent="0.15">
      <c r="A61" s="11">
        <v>38261</v>
      </c>
      <c r="B61" s="2">
        <v>0.60892999999999997</v>
      </c>
      <c r="C61" s="2">
        <v>1.3803700000000001</v>
      </c>
      <c r="D61" s="2">
        <v>0.76744999999999997</v>
      </c>
      <c r="E61" s="2">
        <v>1.9959800000000001</v>
      </c>
      <c r="F61" s="2">
        <v>57.142859999999999</v>
      </c>
      <c r="G61" s="2">
        <v>5.4333333333333336</v>
      </c>
      <c r="H61" s="2">
        <v>1.7753399999999999</v>
      </c>
      <c r="I61" s="8">
        <v>574.65800000000002</v>
      </c>
      <c r="J61">
        <v>2.0350611666666667E-2</v>
      </c>
      <c r="K61">
        <v>2.3348616333333336E-2</v>
      </c>
      <c r="L61">
        <f t="shared" si="0"/>
        <v>2.0350611666666669</v>
      </c>
      <c r="M61">
        <f t="shared" si="0"/>
        <v>2.3348616333333334</v>
      </c>
      <c r="N61">
        <v>2.1478561518567001</v>
      </c>
      <c r="O61">
        <f t="shared" si="4"/>
        <v>-0.47588659236410713</v>
      </c>
      <c r="P61" s="2">
        <f>H61-H57</f>
        <v>1.43004</v>
      </c>
      <c r="Q61" s="7">
        <f>IF(MONTH(A61) = 1, 1, 0)</f>
        <v>0</v>
      </c>
      <c r="R61">
        <f>IF(MONTH(A61) = 4, 1, 0)</f>
        <v>0</v>
      </c>
      <c r="S61">
        <f>IF(MONTH(A61) = 7, 1, 0)</f>
        <v>0</v>
      </c>
      <c r="T61">
        <f>IF(MONTH(A61) = 10, 1, 0)</f>
        <v>1</v>
      </c>
      <c r="U61" s="2">
        <v>3.0922999999999998</v>
      </c>
    </row>
    <row r="62" spans="1:21" x14ac:dyDescent="0.15">
      <c r="A62" s="11">
        <v>38353</v>
      </c>
      <c r="B62" s="2">
        <v>0.62205999999999995</v>
      </c>
      <c r="C62" s="2">
        <v>0.92932999999999999</v>
      </c>
      <c r="D62" s="2">
        <v>0.42508000000000001</v>
      </c>
      <c r="E62" s="2">
        <v>1.2199199999999999</v>
      </c>
      <c r="F62" s="2">
        <v>31.818180000000002</v>
      </c>
      <c r="G62" s="2">
        <v>5.3</v>
      </c>
      <c r="H62" s="2">
        <v>0.82460999999999995</v>
      </c>
      <c r="I62" s="8">
        <v>688.35599999999999</v>
      </c>
      <c r="J62">
        <v>2.2039482333333332E-2</v>
      </c>
      <c r="K62">
        <v>2.4047694999999997E-2</v>
      </c>
      <c r="L62">
        <f t="shared" si="0"/>
        <v>2.2039482333333331</v>
      </c>
      <c r="M62">
        <f t="shared" si="0"/>
        <v>2.4047694999999996</v>
      </c>
      <c r="N62">
        <v>2.1587105124769419</v>
      </c>
      <c r="O62">
        <f t="shared" si="4"/>
        <v>-0.44452317468646285</v>
      </c>
      <c r="P62" s="2">
        <f>H62-H58</f>
        <v>-1.9283100000000002</v>
      </c>
      <c r="Q62" s="7">
        <f>IF(MONTH(A62) = 1, 1, 0)</f>
        <v>1</v>
      </c>
      <c r="R62">
        <f>IF(MONTH(A62) = 4, 1, 0)</f>
        <v>0</v>
      </c>
      <c r="S62">
        <f>IF(MONTH(A62) = 7, 1, 0)</f>
        <v>0</v>
      </c>
      <c r="T62">
        <f>IF(MONTH(A62) = 10, 1, 0)</f>
        <v>0</v>
      </c>
      <c r="U62" s="2">
        <v>1.6192</v>
      </c>
    </row>
    <row r="63" spans="1:21" x14ac:dyDescent="0.15">
      <c r="A63" s="11">
        <v>38443</v>
      </c>
      <c r="B63" s="2">
        <v>0.46783999999999998</v>
      </c>
      <c r="C63" s="2">
        <v>2.86938</v>
      </c>
      <c r="D63" s="2">
        <v>0.74073999999999995</v>
      </c>
      <c r="E63" s="2">
        <v>1.74701</v>
      </c>
      <c r="F63" s="2">
        <v>-31.034479999999999</v>
      </c>
      <c r="G63" s="2">
        <v>5.0999999999999996</v>
      </c>
      <c r="H63" s="2">
        <v>2.5165099999999998</v>
      </c>
      <c r="I63" s="8">
        <v>658.505</v>
      </c>
      <c r="J63">
        <v>2.4674190333333332E-2</v>
      </c>
      <c r="K63">
        <v>2.4067037333333336E-2</v>
      </c>
      <c r="L63">
        <f t="shared" si="0"/>
        <v>2.467419033333333</v>
      </c>
      <c r="M63">
        <f t="shared" si="0"/>
        <v>2.4067037333333334</v>
      </c>
      <c r="N63">
        <v>1.8127847739697793</v>
      </c>
      <c r="O63">
        <f t="shared" si="4"/>
        <v>-0.41011190230677763</v>
      </c>
      <c r="P63" s="2">
        <f>H63-H59</f>
        <v>0.70806999999999976</v>
      </c>
      <c r="Q63" s="7">
        <f>IF(MONTH(A63) = 1, 1, 0)</f>
        <v>0</v>
      </c>
      <c r="R63">
        <f>IF(MONTH(A63) = 4, 1, 0)</f>
        <v>1</v>
      </c>
      <c r="S63">
        <f>IF(MONTH(A63) = 7, 1, 0)</f>
        <v>0</v>
      </c>
      <c r="T63">
        <f>IF(MONTH(A63) = 10, 1, 0)</f>
        <v>0</v>
      </c>
      <c r="U63" s="2">
        <v>0.55157</v>
      </c>
    </row>
    <row r="64" spans="1:21" x14ac:dyDescent="0.15">
      <c r="A64" s="11">
        <v>38534</v>
      </c>
      <c r="B64" s="2">
        <v>0.33261000000000002</v>
      </c>
      <c r="C64" s="2">
        <v>4.2048300000000003</v>
      </c>
      <c r="D64" s="2">
        <v>0.33262999999999998</v>
      </c>
      <c r="E64" s="2">
        <v>1.9189099999999999</v>
      </c>
      <c r="F64" s="2">
        <v>-20</v>
      </c>
      <c r="G64" s="2">
        <v>4.9666666666666668</v>
      </c>
      <c r="H64" s="2">
        <v>3.4059499999999998</v>
      </c>
      <c r="I64" s="8">
        <v>692.76199999999994</v>
      </c>
      <c r="J64">
        <v>2.3831456666666667E-2</v>
      </c>
      <c r="K64">
        <v>2.3948087666666663E-2</v>
      </c>
      <c r="L64">
        <f t="shared" si="0"/>
        <v>2.3831456666666666</v>
      </c>
      <c r="M64">
        <f t="shared" si="0"/>
        <v>2.3948087666666664</v>
      </c>
      <c r="N64">
        <v>1.6973617661352318</v>
      </c>
      <c r="O64">
        <f t="shared" si="4"/>
        <v>-0.37387159677589588</v>
      </c>
      <c r="P64" s="2">
        <f>H64-H60</f>
        <v>1.4980599999999997</v>
      </c>
      <c r="Q64" s="7">
        <f>IF(MONTH(A64) = 1, 1, 0)</f>
        <v>0</v>
      </c>
      <c r="R64">
        <f>IF(MONTH(A64) = 4, 1, 0)</f>
        <v>0</v>
      </c>
      <c r="S64">
        <f>IF(MONTH(A64) = 7, 1, 0)</f>
        <v>1</v>
      </c>
      <c r="T64">
        <f>IF(MONTH(A64) = 10, 1, 0)</f>
        <v>0</v>
      </c>
      <c r="U64" s="2">
        <v>7.3505900000000004</v>
      </c>
    </row>
    <row r="65" spans="1:21" x14ac:dyDescent="0.15">
      <c r="A65" s="11">
        <v>38626</v>
      </c>
      <c r="B65" s="2">
        <v>0.66302000000000005</v>
      </c>
      <c r="C65" s="2">
        <v>9.8881300000000003</v>
      </c>
      <c r="D65" s="2">
        <v>0.75031000000000003</v>
      </c>
      <c r="E65" s="2">
        <v>0.98292000000000002</v>
      </c>
      <c r="F65" s="2">
        <v>68.75</v>
      </c>
      <c r="G65" s="2">
        <v>4.9666666666666668</v>
      </c>
      <c r="H65" s="2">
        <v>0.62314999999999998</v>
      </c>
      <c r="I65" s="8">
        <v>665.49099999999999</v>
      </c>
      <c r="J65">
        <v>3.0418845666666666E-2</v>
      </c>
      <c r="K65">
        <v>2.5651290999999996E-2</v>
      </c>
      <c r="L65">
        <f t="shared" si="0"/>
        <v>3.0418845666666665</v>
      </c>
      <c r="M65">
        <f t="shared" si="0"/>
        <v>2.5651290999999996</v>
      </c>
      <c r="N65">
        <v>1.7722095450660893</v>
      </c>
      <c r="O65">
        <f t="shared" si="4"/>
        <v>-0.37564660679061079</v>
      </c>
      <c r="P65" s="2">
        <f>H65-H61</f>
        <v>-1.15219</v>
      </c>
      <c r="Q65" s="7">
        <f>IF(MONTH(A65) = 1, 1, 0)</f>
        <v>0</v>
      </c>
      <c r="R65">
        <f>IF(MONTH(A65) = 4, 1, 0)</f>
        <v>0</v>
      </c>
      <c r="S65">
        <f>IF(MONTH(A65) = 7, 1, 0)</f>
        <v>0</v>
      </c>
      <c r="T65">
        <f>IF(MONTH(A65) = 10, 1, 0)</f>
        <v>1</v>
      </c>
      <c r="U65" s="2">
        <v>2.5703999999999998</v>
      </c>
    </row>
    <row r="66" spans="1:21" x14ac:dyDescent="0.15">
      <c r="A66" s="11">
        <v>38718</v>
      </c>
      <c r="B66" s="2">
        <v>0.62572000000000005</v>
      </c>
      <c r="C66" s="2">
        <v>1.4724600000000001</v>
      </c>
      <c r="D66" s="2">
        <v>0.81398999999999999</v>
      </c>
      <c r="E66" s="2">
        <v>1.6180399999999999</v>
      </c>
      <c r="F66" s="2">
        <v>-14.81481</v>
      </c>
      <c r="G66" s="2">
        <v>4.7333333333333334</v>
      </c>
      <c r="H66" s="2">
        <v>2.9489999999999999E-2</v>
      </c>
      <c r="I66" s="8">
        <v>695.43499999999995</v>
      </c>
      <c r="J66">
        <v>2.2265568333333333E-2</v>
      </c>
      <c r="K66">
        <v>2.4788541000000001E-2</v>
      </c>
      <c r="L66">
        <f t="shared" ref="L66:M101" si="5">J66*100</f>
        <v>2.2265568333333334</v>
      </c>
      <c r="M66">
        <f t="shared" si="5"/>
        <v>2.4788540999999999</v>
      </c>
      <c r="N66">
        <v>1.7150107952079872</v>
      </c>
      <c r="O66">
        <f t="shared" si="4"/>
        <v>-0.44369971726895474</v>
      </c>
      <c r="P66" s="2">
        <f>H66-H62</f>
        <v>-0.79511999999999994</v>
      </c>
      <c r="Q66" s="7">
        <f>IF(MONTH(A66) = 1, 1, 0)</f>
        <v>1</v>
      </c>
      <c r="R66">
        <f>IF(MONTH(A66) = 4, 1, 0)</f>
        <v>0</v>
      </c>
      <c r="S66">
        <f>IF(MONTH(A66) = 7, 1, 0)</f>
        <v>0</v>
      </c>
      <c r="T66">
        <f>IF(MONTH(A66) = 10, 1, 0)</f>
        <v>0</v>
      </c>
      <c r="U66" s="2">
        <v>-4.5785799999999997</v>
      </c>
    </row>
    <row r="67" spans="1:21" x14ac:dyDescent="0.15">
      <c r="A67" s="11">
        <v>38808</v>
      </c>
      <c r="B67" s="2">
        <v>0.81820000000000004</v>
      </c>
      <c r="C67" s="2">
        <v>-2.8842699999999999</v>
      </c>
      <c r="D67" s="2">
        <v>5.1540000000000002E-2</v>
      </c>
      <c r="E67" s="2">
        <v>1.40107</v>
      </c>
      <c r="F67" s="2">
        <v>39.130429999999997</v>
      </c>
      <c r="G67" s="2">
        <v>4.6333333333333329</v>
      </c>
      <c r="H67" s="2">
        <v>3.0660400000000001</v>
      </c>
      <c r="I67" s="8">
        <v>685.44100000000003</v>
      </c>
      <c r="J67">
        <v>2.7702709666666669E-2</v>
      </c>
      <c r="K67">
        <v>2.6517205000000002E-2</v>
      </c>
      <c r="L67">
        <f t="shared" si="5"/>
        <v>2.7702709666666667</v>
      </c>
      <c r="M67">
        <f t="shared" si="5"/>
        <v>2.6517205000000001</v>
      </c>
      <c r="N67">
        <v>1.4579827360581781</v>
      </c>
      <c r="O67">
        <f t="shared" si="4"/>
        <v>-0.35480203791160125</v>
      </c>
      <c r="P67" s="2">
        <f>H67-H63</f>
        <v>0.5495300000000003</v>
      </c>
      <c r="Q67" s="7">
        <f>IF(MONTH(A67) = 1, 1, 0)</f>
        <v>0</v>
      </c>
      <c r="R67">
        <f>IF(MONTH(A67) = 4, 1, 0)</f>
        <v>1</v>
      </c>
      <c r="S67">
        <f>IF(MONTH(A67) = 7, 1, 0)</f>
        <v>0</v>
      </c>
      <c r="T67">
        <f>IF(MONTH(A67) = 10, 1, 0)</f>
        <v>0</v>
      </c>
      <c r="U67" s="2">
        <v>-2.5345200000000001</v>
      </c>
    </row>
    <row r="68" spans="1:21" x14ac:dyDescent="0.15">
      <c r="A68" s="11">
        <v>38899</v>
      </c>
      <c r="B68" s="2">
        <v>0.68171000000000004</v>
      </c>
      <c r="C68" s="2">
        <v>0.36893999999999999</v>
      </c>
      <c r="D68" s="2">
        <v>0.73831999999999998</v>
      </c>
      <c r="E68" s="2">
        <v>1.3669</v>
      </c>
      <c r="F68" s="2">
        <v>-31.25</v>
      </c>
      <c r="G68" s="2">
        <v>4.6333333333333329</v>
      </c>
      <c r="H68" s="2">
        <v>1.0297499999999999</v>
      </c>
      <c r="I68" s="8">
        <v>567.61</v>
      </c>
      <c r="J68">
        <v>2.7729631000000005E-2</v>
      </c>
      <c r="K68">
        <v>2.6196023666666665E-2</v>
      </c>
      <c r="L68">
        <f t="shared" si="5"/>
        <v>2.7729631000000006</v>
      </c>
      <c r="M68">
        <f t="shared" si="5"/>
        <v>2.6196023666666663</v>
      </c>
      <c r="N68">
        <v>1.4881903812692727</v>
      </c>
      <c r="O68">
        <f t="shared" si="4"/>
        <v>-0.2091713848659591</v>
      </c>
      <c r="P68" s="2">
        <f>H68-H64</f>
        <v>-2.3761999999999999</v>
      </c>
      <c r="Q68" s="7">
        <f>IF(MONTH(A68) = 1, 1, 0)</f>
        <v>0</v>
      </c>
      <c r="R68">
        <f>IF(MONTH(A68) = 4, 1, 0)</f>
        <v>0</v>
      </c>
      <c r="S68">
        <f>IF(MONTH(A68) = 7, 1, 0)</f>
        <v>1</v>
      </c>
      <c r="T68">
        <f>IF(MONTH(A68) = 10, 1, 0)</f>
        <v>0</v>
      </c>
      <c r="U68" s="2">
        <v>0.24426999999999999</v>
      </c>
    </row>
    <row r="69" spans="1:21" x14ac:dyDescent="0.15">
      <c r="A69" s="11">
        <v>38991</v>
      </c>
      <c r="B69" s="2">
        <v>0.51588000000000001</v>
      </c>
      <c r="C69" s="2">
        <v>-0.64326000000000005</v>
      </c>
      <c r="D69" s="2">
        <v>0.71587000000000001</v>
      </c>
      <c r="E69" s="2">
        <v>0.78649000000000002</v>
      </c>
      <c r="F69" s="2">
        <v>-22.727270000000001</v>
      </c>
      <c r="G69" s="2">
        <v>4.4333333333333336</v>
      </c>
      <c r="H69" s="2">
        <v>-3.1143800000000001</v>
      </c>
      <c r="I69" s="8">
        <v>538.53</v>
      </c>
      <c r="J69">
        <v>2.0930832666666666E-2</v>
      </c>
      <c r="K69">
        <v>2.4038425666666668E-2</v>
      </c>
      <c r="L69">
        <f t="shared" si="5"/>
        <v>2.0930832666666666</v>
      </c>
      <c r="M69">
        <f t="shared" si="5"/>
        <v>2.403842566666667</v>
      </c>
      <c r="N69">
        <v>1.4791998629338172</v>
      </c>
      <c r="O69">
        <f t="shared" si="4"/>
        <v>-0.29300968213227208</v>
      </c>
      <c r="P69" s="2">
        <f>H69-H65</f>
        <v>-3.73753</v>
      </c>
      <c r="Q69" s="7">
        <f>IF(MONTH(A69) = 1, 1, 0)</f>
        <v>0</v>
      </c>
      <c r="R69">
        <f>IF(MONTH(A69) = 4, 1, 0)</f>
        <v>0</v>
      </c>
      <c r="S69">
        <f>IF(MONTH(A69) = 7, 1, 0)</f>
        <v>0</v>
      </c>
      <c r="T69">
        <f>IF(MONTH(A69) = 10, 1, 0)</f>
        <v>1</v>
      </c>
      <c r="U69" s="2">
        <v>-0.83025000000000004</v>
      </c>
    </row>
    <row r="70" spans="1:21" x14ac:dyDescent="0.15">
      <c r="A70" s="11">
        <v>39083</v>
      </c>
      <c r="B70" s="2">
        <v>0.58589000000000002</v>
      </c>
      <c r="C70" s="2">
        <v>2.3575699999999999</v>
      </c>
      <c r="D70" s="2">
        <v>1.4071800000000001</v>
      </c>
      <c r="E70" s="2">
        <v>1.5356000000000001</v>
      </c>
      <c r="F70" s="2">
        <v>64.705879999999993</v>
      </c>
      <c r="G70" s="2">
        <v>4.5</v>
      </c>
      <c r="H70" s="2">
        <v>0.43834000000000001</v>
      </c>
      <c r="I70" s="8">
        <v>409.92700000000002</v>
      </c>
      <c r="J70">
        <v>2.7070377666666669E-2</v>
      </c>
      <c r="K70">
        <v>2.5214612333333331E-2</v>
      </c>
      <c r="L70">
        <f t="shared" si="5"/>
        <v>2.7070377666666667</v>
      </c>
      <c r="M70">
        <f t="shared" si="5"/>
        <v>2.5214612333333331</v>
      </c>
      <c r="N70">
        <v>1.5577013826111454</v>
      </c>
      <c r="O70">
        <f t="shared" si="4"/>
        <v>-0.15730941259684172</v>
      </c>
      <c r="P70" s="2">
        <f>H70-H66</f>
        <v>0.40884999999999999</v>
      </c>
      <c r="Q70" s="7">
        <f>IF(MONTH(A70) = 1, 1, 0)</f>
        <v>1</v>
      </c>
      <c r="R70">
        <f>IF(MONTH(A70) = 4, 1, 0)</f>
        <v>0</v>
      </c>
      <c r="S70">
        <f>IF(MONTH(A70) = 7, 1, 0)</f>
        <v>0</v>
      </c>
      <c r="T70">
        <f>IF(MONTH(A70) = 10, 1, 0)</f>
        <v>0</v>
      </c>
      <c r="U70" s="2">
        <v>-1.5387299999999999</v>
      </c>
    </row>
    <row r="71" spans="1:21" x14ac:dyDescent="0.15">
      <c r="A71" s="11">
        <v>39173</v>
      </c>
      <c r="B71" s="2">
        <v>0.48537000000000002</v>
      </c>
      <c r="C71" s="2">
        <v>1.331</v>
      </c>
      <c r="D71" s="2">
        <v>0.97411000000000003</v>
      </c>
      <c r="E71" s="2">
        <v>1.11365</v>
      </c>
      <c r="F71" s="2">
        <v>-39.285710000000002</v>
      </c>
      <c r="G71" s="2">
        <v>4.5</v>
      </c>
      <c r="H71" s="2">
        <v>3.6078000000000001</v>
      </c>
      <c r="I71" s="8">
        <v>457.47199999999998</v>
      </c>
      <c r="J71">
        <v>2.9524565666666665E-2</v>
      </c>
      <c r="K71">
        <v>2.5583009333333333E-2</v>
      </c>
      <c r="L71">
        <f t="shared" si="5"/>
        <v>2.9524565666666667</v>
      </c>
      <c r="M71">
        <f t="shared" si="5"/>
        <v>2.5583009333333333</v>
      </c>
      <c r="N71">
        <v>1.3876808218645831</v>
      </c>
      <c r="O71">
        <f t="shared" si="4"/>
        <v>-7.0301914193594994E-2</v>
      </c>
      <c r="P71" s="2">
        <f>H71-H67</f>
        <v>0.54176000000000002</v>
      </c>
      <c r="Q71" s="7">
        <f>IF(MONTH(A71) = 1, 1, 0)</f>
        <v>0</v>
      </c>
      <c r="R71">
        <f>IF(MONTH(A71) = 4, 1, 0)</f>
        <v>1</v>
      </c>
      <c r="S71">
        <f>IF(MONTH(A71) = 7, 1, 0)</f>
        <v>0</v>
      </c>
      <c r="T71">
        <f>IF(MONTH(A71) = 10, 1, 0)</f>
        <v>0</v>
      </c>
      <c r="U71" s="2">
        <v>-3.2710599999999999</v>
      </c>
    </row>
    <row r="72" spans="1:21" x14ac:dyDescent="0.15">
      <c r="A72" s="11">
        <v>39264</v>
      </c>
      <c r="B72" s="2">
        <v>0.51554999999999995</v>
      </c>
      <c r="C72" s="2">
        <v>-0.49312</v>
      </c>
      <c r="D72" s="2">
        <v>1.13957</v>
      </c>
      <c r="E72" s="2">
        <v>1.23604</v>
      </c>
      <c r="F72" s="2">
        <v>17.64706</v>
      </c>
      <c r="G72" s="2">
        <v>4.666666666666667</v>
      </c>
      <c r="H72" s="2">
        <v>2.33081</v>
      </c>
      <c r="I72" s="8">
        <v>497.101</v>
      </c>
      <c r="J72">
        <v>2.6139644E-2</v>
      </c>
      <c r="K72">
        <v>2.5137561333333336E-2</v>
      </c>
      <c r="L72">
        <f t="shared" si="5"/>
        <v>2.6139644</v>
      </c>
      <c r="M72">
        <f t="shared" si="5"/>
        <v>2.5137561333333336</v>
      </c>
      <c r="N72">
        <v>1.5139045227821126</v>
      </c>
      <c r="O72">
        <f t="shared" si="4"/>
        <v>2.5714141512839905E-2</v>
      </c>
      <c r="P72" s="2">
        <f>H72-H68</f>
        <v>1.3010600000000001</v>
      </c>
      <c r="Q72" s="7">
        <f>IF(MONTH(A72) = 1, 1, 0)</f>
        <v>0</v>
      </c>
      <c r="R72">
        <f>IF(MONTH(A72) = 4, 1, 0)</f>
        <v>0</v>
      </c>
      <c r="S72">
        <f>IF(MONTH(A72) = 7, 1, 0)</f>
        <v>1</v>
      </c>
      <c r="T72">
        <f>IF(MONTH(A72) = 10, 1, 0)</f>
        <v>0</v>
      </c>
      <c r="U72" s="2">
        <v>4.3076800000000004</v>
      </c>
    </row>
    <row r="73" spans="1:21" x14ac:dyDescent="0.15">
      <c r="A73" s="11">
        <v>39356</v>
      </c>
      <c r="B73" s="2">
        <v>0.70392999999999994</v>
      </c>
      <c r="C73" s="2">
        <v>0.98234999999999995</v>
      </c>
      <c r="D73" s="2">
        <v>1.1161099999999999</v>
      </c>
      <c r="E73" s="2">
        <v>1.41622</v>
      </c>
      <c r="F73" s="2">
        <v>40</v>
      </c>
      <c r="G73" s="2">
        <v>4.8</v>
      </c>
      <c r="H73" s="2">
        <v>3.8419300000000001</v>
      </c>
      <c r="I73" s="8">
        <v>449.596</v>
      </c>
      <c r="J73">
        <v>2.4892767E-2</v>
      </c>
      <c r="K73">
        <v>2.3277174333333334E-2</v>
      </c>
      <c r="L73">
        <f t="shared" si="5"/>
        <v>2.4892767</v>
      </c>
      <c r="M73">
        <f t="shared" si="5"/>
        <v>2.3277174333333335</v>
      </c>
      <c r="N73">
        <v>1.6107397453637435</v>
      </c>
      <c r="O73">
        <f t="shared" si="4"/>
        <v>0.13153988242992631</v>
      </c>
      <c r="P73" s="2">
        <f>H73-H69</f>
        <v>6.9563100000000002</v>
      </c>
      <c r="Q73" s="7">
        <f>IF(MONTH(A73) = 1, 1, 0)</f>
        <v>0</v>
      </c>
      <c r="R73">
        <f>IF(MONTH(A73) = 4, 1, 0)</f>
        <v>0</v>
      </c>
      <c r="S73">
        <f>IF(MONTH(A73) = 7, 1, 0)</f>
        <v>0</v>
      </c>
      <c r="T73">
        <f>IF(MONTH(A73) = 10, 1, 0)</f>
        <v>1</v>
      </c>
      <c r="U73" s="2">
        <v>5.7265899999999998</v>
      </c>
    </row>
    <row r="74" spans="1:21" x14ac:dyDescent="0.15">
      <c r="A74" s="11">
        <v>39448</v>
      </c>
      <c r="B74" s="2">
        <v>0.66232000000000002</v>
      </c>
      <c r="C74" s="2">
        <v>1.4074599999999999</v>
      </c>
      <c r="D74" s="2">
        <v>1.35622</v>
      </c>
      <c r="E74" s="2">
        <v>0.67759000000000003</v>
      </c>
      <c r="F74" s="2">
        <v>-25</v>
      </c>
      <c r="G74" s="2">
        <v>5</v>
      </c>
      <c r="H74" s="2">
        <v>3.6469299999999998</v>
      </c>
      <c r="I74" s="8">
        <v>256.036</v>
      </c>
      <c r="J74">
        <v>2.2326950666666668E-2</v>
      </c>
      <c r="K74">
        <v>2.0628456999999999E-2</v>
      </c>
      <c r="L74">
        <f t="shared" si="5"/>
        <v>2.2326950666666669</v>
      </c>
      <c r="M74">
        <f t="shared" si="5"/>
        <v>2.0628457</v>
      </c>
      <c r="N74">
        <v>1.8827679837889282</v>
      </c>
      <c r="O74">
        <f t="shared" si="4"/>
        <v>0.32506660117778274</v>
      </c>
      <c r="P74" s="2">
        <f>H74-H70</f>
        <v>3.2085899999999996</v>
      </c>
      <c r="Q74" s="7">
        <f>IF(MONTH(A74) = 1, 1, 0)</f>
        <v>1</v>
      </c>
      <c r="R74">
        <f>IF(MONTH(A74) = 4, 1, 0)</f>
        <v>0</v>
      </c>
      <c r="S74">
        <f>IF(MONTH(A74) = 7, 1, 0)</f>
        <v>0</v>
      </c>
      <c r="T74">
        <f>IF(MONTH(A74) = 10, 1, 0)</f>
        <v>0</v>
      </c>
      <c r="U74" s="2">
        <v>3.3762400000000001</v>
      </c>
    </row>
    <row r="75" spans="1:21" x14ac:dyDescent="0.15">
      <c r="A75" s="11">
        <v>39539</v>
      </c>
      <c r="B75" s="2">
        <v>0.43448999999999999</v>
      </c>
      <c r="C75" s="2">
        <v>6.6076100000000002</v>
      </c>
      <c r="D75" s="2">
        <v>1.4716899999999999</v>
      </c>
      <c r="E75" s="2">
        <v>1.2537700000000001</v>
      </c>
      <c r="F75" s="2">
        <v>-19.047619999999998</v>
      </c>
      <c r="G75" s="2">
        <v>5.333333333333333</v>
      </c>
      <c r="H75" s="2">
        <v>8.1081099999999999</v>
      </c>
      <c r="I75" s="8">
        <v>210.33</v>
      </c>
      <c r="J75">
        <v>2.344286433333333E-2</v>
      </c>
      <c r="K75">
        <v>2.1749102000000003E-2</v>
      </c>
      <c r="L75">
        <f t="shared" si="5"/>
        <v>2.3442864333333331</v>
      </c>
      <c r="M75">
        <f t="shared" si="5"/>
        <v>2.1749102000000002</v>
      </c>
      <c r="N75">
        <v>1.9705153719024799</v>
      </c>
      <c r="O75">
        <f t="shared" si="4"/>
        <v>0.58283455003789686</v>
      </c>
      <c r="P75" s="2">
        <f>H75-H71</f>
        <v>4.5003099999999998</v>
      </c>
      <c r="Q75" s="7">
        <f>IF(MONTH(A75) = 1, 1, 0)</f>
        <v>0</v>
      </c>
      <c r="R75">
        <f>IF(MONTH(A75) = 4, 1, 0)</f>
        <v>1</v>
      </c>
      <c r="S75">
        <f>IF(MONTH(A75) = 7, 1, 0)</f>
        <v>0</v>
      </c>
      <c r="T75">
        <f>IF(MONTH(A75) = 10, 1, 0)</f>
        <v>0</v>
      </c>
      <c r="U75" s="2">
        <v>7.6075400000000002</v>
      </c>
    </row>
    <row r="76" spans="1:21" x14ac:dyDescent="0.15">
      <c r="A76" s="11">
        <v>39630</v>
      </c>
      <c r="B76" s="2">
        <v>0.64365000000000006</v>
      </c>
      <c r="C76" s="2">
        <v>4.2027000000000001</v>
      </c>
      <c r="D76" s="2">
        <v>2.0455700000000001</v>
      </c>
      <c r="E76" s="2">
        <v>0.28793000000000002</v>
      </c>
      <c r="F76" s="2">
        <v>23.529409999999999</v>
      </c>
      <c r="G76" s="2">
        <v>6</v>
      </c>
      <c r="H76" s="2">
        <v>1.0141500000000001</v>
      </c>
      <c r="I76" s="8">
        <v>99.334999999999994</v>
      </c>
      <c r="J76">
        <v>2.9108299333333334E-2</v>
      </c>
      <c r="K76">
        <v>2.2999659666666668E-2</v>
      </c>
      <c r="L76">
        <f t="shared" si="5"/>
        <v>2.9108299333333334</v>
      </c>
      <c r="M76">
        <f t="shared" si="5"/>
        <v>2.299965966666667</v>
      </c>
      <c r="N76">
        <v>2.5590965766918639</v>
      </c>
      <c r="O76">
        <f t="shared" si="4"/>
        <v>1.0451920539097512</v>
      </c>
      <c r="P76" s="2">
        <f>H76-H72</f>
        <v>-1.3166599999999999</v>
      </c>
      <c r="Q76" s="7">
        <f>IF(MONTH(A76) = 1, 1, 0)</f>
        <v>0</v>
      </c>
      <c r="R76">
        <f>IF(MONTH(A76) = 4, 1, 0)</f>
        <v>0</v>
      </c>
      <c r="S76">
        <f>IF(MONTH(A76) = 7, 1, 0)</f>
        <v>1</v>
      </c>
      <c r="T76">
        <f>IF(MONTH(A76) = 10, 1, 0)</f>
        <v>0</v>
      </c>
      <c r="U76" s="2">
        <v>15.853339999999999</v>
      </c>
    </row>
    <row r="77" spans="1:21" x14ac:dyDescent="0.15">
      <c r="A77" s="11">
        <v>39722</v>
      </c>
      <c r="B77" s="2">
        <v>0.24481</v>
      </c>
      <c r="C77" s="2">
        <v>-3.6889400000000001</v>
      </c>
      <c r="D77" s="2">
        <v>1.05864</v>
      </c>
      <c r="E77" s="2">
        <v>-2.4818600000000002</v>
      </c>
      <c r="F77" s="2">
        <v>-114.28570999999999</v>
      </c>
      <c r="G77" s="2">
        <v>6.8666666666666671</v>
      </c>
      <c r="H77" s="2">
        <v>-14.98949</v>
      </c>
      <c r="I77" s="8">
        <v>-313.46600000000001</v>
      </c>
      <c r="J77">
        <v>8.9160237666666663E-3</v>
      </c>
      <c r="K77">
        <v>1.8981964666666667E-2</v>
      </c>
      <c r="L77">
        <f t="shared" si="5"/>
        <v>0.89160237666666664</v>
      </c>
      <c r="M77">
        <f t="shared" si="5"/>
        <v>1.8981964666666666</v>
      </c>
      <c r="N77">
        <v>3.3682478743444939</v>
      </c>
      <c r="O77">
        <f t="shared" si="4"/>
        <v>1.7575081289807504</v>
      </c>
      <c r="P77" s="2">
        <f>H77-H73</f>
        <v>-18.831420000000001</v>
      </c>
      <c r="Q77" s="7">
        <f>IF(MONTH(A77) = 1, 1, 0)</f>
        <v>0</v>
      </c>
      <c r="R77">
        <f>IF(MONTH(A77) = 4, 1, 0)</f>
        <v>0</v>
      </c>
      <c r="S77">
        <f>IF(MONTH(A77) = 7, 1, 0)</f>
        <v>0</v>
      </c>
      <c r="T77">
        <f>IF(MONTH(A77) = 10, 1, 0)</f>
        <v>1</v>
      </c>
      <c r="U77" s="2">
        <v>12.497859999999999</v>
      </c>
    </row>
    <row r="78" spans="1:21" x14ac:dyDescent="0.15">
      <c r="A78" s="11">
        <v>39814</v>
      </c>
      <c r="B78" s="2">
        <v>0.41972999999999999</v>
      </c>
      <c r="C78" s="2">
        <v>-1.7994600000000001</v>
      </c>
      <c r="D78" s="2">
        <v>0.18101999999999999</v>
      </c>
      <c r="E78" s="2">
        <v>-0.92830999999999997</v>
      </c>
      <c r="F78" s="2">
        <v>-100</v>
      </c>
      <c r="G78" s="2">
        <v>8.2666666666666675</v>
      </c>
      <c r="H78" s="2">
        <v>-6.7289199999999996</v>
      </c>
      <c r="I78" s="8">
        <v>-391.35899999999998</v>
      </c>
      <c r="J78">
        <v>1.2484796666666668E-3</v>
      </c>
      <c r="K78">
        <v>1.6413906666666669E-2</v>
      </c>
      <c r="L78">
        <f t="shared" si="5"/>
        <v>0.12484796666666668</v>
      </c>
      <c r="M78">
        <f t="shared" si="5"/>
        <v>1.6413906666666669</v>
      </c>
      <c r="N78">
        <v>5.1180153123661967</v>
      </c>
      <c r="O78">
        <f t="shared" si="4"/>
        <v>3.2352473285772687</v>
      </c>
      <c r="P78" s="2">
        <f>H78-H74</f>
        <v>-10.37585</v>
      </c>
      <c r="Q78" s="7">
        <f>IF(MONTH(A78) = 1, 1, 0)</f>
        <v>1</v>
      </c>
      <c r="R78">
        <f>IF(MONTH(A78) = 4, 1, 0)</f>
        <v>0</v>
      </c>
      <c r="S78">
        <f>IF(MONTH(A78) = 7, 1, 0)</f>
        <v>0</v>
      </c>
      <c r="T78">
        <f>IF(MONTH(A78) = 10, 1, 0)</f>
        <v>0</v>
      </c>
      <c r="U78" s="2">
        <v>-6.4884300000000001</v>
      </c>
    </row>
    <row r="79" spans="1:21" x14ac:dyDescent="0.15">
      <c r="A79" s="11">
        <v>39904</v>
      </c>
      <c r="B79" s="2">
        <v>0.50980000000000003</v>
      </c>
      <c r="C79" s="2">
        <v>-3.89093</v>
      </c>
      <c r="D79" s="2">
        <v>-0.57065999999999995</v>
      </c>
      <c r="E79" s="2">
        <v>-9.6449999999999994E-2</v>
      </c>
      <c r="F79" s="5" t="e">
        <f>NA()</f>
        <v>#N/A</v>
      </c>
      <c r="G79" s="2">
        <v>9.3000000000000007</v>
      </c>
      <c r="H79" s="2">
        <v>3.5335700000000001</v>
      </c>
      <c r="I79" s="8">
        <v>-579.74800000000005</v>
      </c>
      <c r="J79">
        <v>1.2668979333333332E-2</v>
      </c>
      <c r="K79">
        <v>1.8535621666666665E-2</v>
      </c>
      <c r="L79">
        <f t="shared" si="5"/>
        <v>1.2668979333333332</v>
      </c>
      <c r="M79">
        <f t="shared" si="5"/>
        <v>1.8535621666666664</v>
      </c>
      <c r="N79">
        <v>5.5712051184187521</v>
      </c>
      <c r="O79">
        <f t="shared" si="4"/>
        <v>3.6006897465162719</v>
      </c>
      <c r="P79" s="2">
        <f>H79-H75</f>
        <v>-4.5745399999999998</v>
      </c>
      <c r="Q79" s="7">
        <f>IF(MONTH(A79) = 1, 1, 0)</f>
        <v>0</v>
      </c>
      <c r="R79">
        <f>IF(MONTH(A79) = 4, 1, 0)</f>
        <v>1</v>
      </c>
      <c r="S79">
        <f>IF(MONTH(A79) = 7, 1, 0)</f>
        <v>0</v>
      </c>
      <c r="T79">
        <f>IF(MONTH(A79) = 10, 1, 0)</f>
        <v>0</v>
      </c>
      <c r="U79" s="2">
        <v>-9.2433599999999991</v>
      </c>
    </row>
    <row r="80" spans="1:21" x14ac:dyDescent="0.15">
      <c r="A80" s="11">
        <v>39995</v>
      </c>
      <c r="B80" s="2">
        <v>0.29799999999999999</v>
      </c>
      <c r="C80" s="2">
        <v>-1.3670500000000001</v>
      </c>
      <c r="D80" s="2">
        <v>-0.29110000000000003</v>
      </c>
      <c r="E80" s="2">
        <v>1.3655600000000001</v>
      </c>
      <c r="F80" s="2">
        <v>-12.5</v>
      </c>
      <c r="G80" s="2">
        <v>9.6333333333333329</v>
      </c>
      <c r="H80" s="2">
        <v>2.8725800000000001</v>
      </c>
      <c r="I80" s="8">
        <v>-532.14400000000001</v>
      </c>
      <c r="J80">
        <v>1.9791925000000002E-2</v>
      </c>
      <c r="K80">
        <v>2.0681111000000002E-2</v>
      </c>
      <c r="L80">
        <f t="shared" si="5"/>
        <v>1.9791925000000001</v>
      </c>
      <c r="M80">
        <f t="shared" si="5"/>
        <v>2.0681111000000003</v>
      </c>
      <c r="N80">
        <v>6.0580778636694186</v>
      </c>
      <c r="O80">
        <f t="shared" si="4"/>
        <v>3.4989812869775547</v>
      </c>
      <c r="P80" s="2">
        <f>H80-H76</f>
        <v>1.85843</v>
      </c>
      <c r="Q80" s="7">
        <f>IF(MONTH(A80) = 1, 1, 0)</f>
        <v>0</v>
      </c>
      <c r="R80">
        <f>IF(MONTH(A80) = 4, 1, 0)</f>
        <v>0</v>
      </c>
      <c r="S80">
        <f>IF(MONTH(A80) = 7, 1, 0)</f>
        <v>1</v>
      </c>
      <c r="T80">
        <f>IF(MONTH(A80) = 10, 1, 0)</f>
        <v>0</v>
      </c>
      <c r="U80" s="2">
        <v>-7.0177699999999996</v>
      </c>
    </row>
    <row r="81" spans="1:21" x14ac:dyDescent="0.15">
      <c r="A81" s="11">
        <v>40087</v>
      </c>
      <c r="B81" s="2">
        <v>0.51148000000000005</v>
      </c>
      <c r="C81" s="2">
        <v>1.2844199999999999</v>
      </c>
      <c r="D81" s="2">
        <v>9.2509999999999995E-2</v>
      </c>
      <c r="E81" s="2">
        <v>0.66</v>
      </c>
      <c r="F81" s="2">
        <v>78.571430000000007</v>
      </c>
      <c r="G81" s="2">
        <v>9.9333333333333336</v>
      </c>
      <c r="H81" s="2">
        <v>2.5158999999999998</v>
      </c>
      <c r="I81" s="8">
        <v>-40.256</v>
      </c>
      <c r="J81">
        <v>1.7406669E-2</v>
      </c>
      <c r="K81">
        <v>1.9619755333333332E-2</v>
      </c>
      <c r="L81">
        <f t="shared" si="5"/>
        <v>1.7406668999999999</v>
      </c>
      <c r="M81">
        <f t="shared" si="5"/>
        <v>1.9619755333333333</v>
      </c>
      <c r="N81">
        <v>6.2393210166659117</v>
      </c>
      <c r="O81">
        <f t="shared" si="4"/>
        <v>2.8710731423214177</v>
      </c>
      <c r="P81" s="2">
        <f>H81-H77</f>
        <v>17.505389999999998</v>
      </c>
      <c r="Q81" s="7">
        <f>IF(MONTH(A81) = 1, 1, 0)</f>
        <v>0</v>
      </c>
      <c r="R81">
        <f>IF(MONTH(A81) = 4, 1, 0)</f>
        <v>0</v>
      </c>
      <c r="S81">
        <f>IF(MONTH(A81) = 7, 1, 0)</f>
        <v>0</v>
      </c>
      <c r="T81">
        <f>IF(MONTH(A81) = 10, 1, 0)</f>
        <v>1</v>
      </c>
      <c r="U81" s="2">
        <v>-7.3666999999999998</v>
      </c>
    </row>
    <row r="82" spans="1:21" x14ac:dyDescent="0.15">
      <c r="A82" s="11">
        <v>40179</v>
      </c>
      <c r="B82" s="2">
        <v>1.495E-2</v>
      </c>
      <c r="C82" s="2">
        <v>0.34544000000000002</v>
      </c>
      <c r="D82" s="2">
        <v>0.65232999999999997</v>
      </c>
      <c r="E82" s="2">
        <v>0.96784999999999999</v>
      </c>
      <c r="F82" s="2">
        <v>-44</v>
      </c>
      <c r="G82" s="2">
        <v>9.8333333333333339</v>
      </c>
      <c r="H82" s="2">
        <v>1.9417500000000001</v>
      </c>
      <c r="I82" s="8">
        <v>231.477</v>
      </c>
      <c r="J82">
        <v>1.7991717333333334E-2</v>
      </c>
      <c r="K82">
        <v>2.0381484333333335E-2</v>
      </c>
      <c r="L82">
        <f t="shared" si="5"/>
        <v>1.7991717333333335</v>
      </c>
      <c r="M82">
        <f t="shared" si="5"/>
        <v>2.0381484333333333</v>
      </c>
      <c r="N82">
        <v>5.9575516768228445</v>
      </c>
      <c r="O82">
        <f t="shared" si="4"/>
        <v>0.83953636445664781</v>
      </c>
      <c r="P82" s="2">
        <f>H82-H78</f>
        <v>8.6706699999999994</v>
      </c>
      <c r="Q82" s="7">
        <f>IF(MONTH(A82) = 1, 1, 0)</f>
        <v>1</v>
      </c>
      <c r="R82">
        <f>IF(MONTH(A82) = 4, 1, 0)</f>
        <v>0</v>
      </c>
      <c r="S82">
        <f>IF(MONTH(A82) = 7, 1, 0)</f>
        <v>0</v>
      </c>
      <c r="T82">
        <f>IF(MONTH(A82) = 10, 1, 0)</f>
        <v>0</v>
      </c>
      <c r="U82" s="2">
        <v>-2.1293899999999999</v>
      </c>
    </row>
    <row r="83" spans="1:21" x14ac:dyDescent="0.15">
      <c r="A83" s="11">
        <v>40269</v>
      </c>
      <c r="B83" s="2">
        <v>0.1255</v>
      </c>
      <c r="C83" s="2">
        <v>0.28961999999999999</v>
      </c>
      <c r="D83" s="2">
        <v>0.17147000000000001</v>
      </c>
      <c r="E83" s="2">
        <v>1.0522800000000001</v>
      </c>
      <c r="F83" s="2">
        <v>-21.428570000000001</v>
      </c>
      <c r="G83" s="2">
        <v>9.6333333333333329</v>
      </c>
      <c r="H83" s="2">
        <v>0.42327999999999999</v>
      </c>
      <c r="I83" s="8">
        <v>481.66</v>
      </c>
      <c r="J83">
        <v>1.5011275999999999E-2</v>
      </c>
      <c r="K83">
        <v>1.9892216333333334E-2</v>
      </c>
      <c r="L83">
        <f t="shared" si="5"/>
        <v>1.5011275999999998</v>
      </c>
      <c r="M83">
        <f t="shared" si="5"/>
        <v>1.9892216333333335</v>
      </c>
      <c r="N83">
        <v>4.8008727966164608</v>
      </c>
      <c r="O83">
        <f t="shared" si="4"/>
        <v>-0.77033232180229128</v>
      </c>
      <c r="P83" s="2">
        <f>H83-H79</f>
        <v>-3.11029</v>
      </c>
      <c r="Q83" s="7">
        <f>IF(MONTH(A83) = 1, 1, 0)</f>
        <v>0</v>
      </c>
      <c r="R83">
        <f>IF(MONTH(A83) = 4, 1, 0)</f>
        <v>1</v>
      </c>
      <c r="S83">
        <f>IF(MONTH(A83) = 7, 1, 0)</f>
        <v>0</v>
      </c>
      <c r="T83">
        <f>IF(MONTH(A83) = 10, 1, 0)</f>
        <v>0</v>
      </c>
      <c r="U83" s="2">
        <v>-5.8052700000000002</v>
      </c>
    </row>
    <row r="84" spans="1:21" x14ac:dyDescent="0.15">
      <c r="A84" s="11">
        <v>40360</v>
      </c>
      <c r="B84" s="2">
        <v>0.24209</v>
      </c>
      <c r="C84" s="2">
        <v>-5.0000000000000001E-3</v>
      </c>
      <c r="D84" s="2">
        <v>0.15476000000000001</v>
      </c>
      <c r="E84" s="2">
        <v>0.90744999999999998</v>
      </c>
      <c r="F84" s="2">
        <v>-45.454549999999998</v>
      </c>
      <c r="G84" s="2">
        <v>9.4666666666666668</v>
      </c>
      <c r="H84" s="2">
        <v>-0.79030999999999996</v>
      </c>
      <c r="I84" s="8">
        <v>575.36800000000005</v>
      </c>
      <c r="J84">
        <v>1.0703518833333333E-2</v>
      </c>
      <c r="K84">
        <v>1.6733046666666668E-2</v>
      </c>
      <c r="L84">
        <f t="shared" si="5"/>
        <v>1.0703518833333334</v>
      </c>
      <c r="M84">
        <f t="shared" si="5"/>
        <v>1.6733046666666667</v>
      </c>
      <c r="N84">
        <v>4.7325523127755664</v>
      </c>
      <c r="O84">
        <f t="shared" si="4"/>
        <v>-1.3255255508938522</v>
      </c>
      <c r="P84" s="2">
        <f>H84-H80</f>
        <v>-3.66289</v>
      </c>
      <c r="Q84" s="7">
        <f>IF(MONTH(A84) = 1, 1, 0)</f>
        <v>0</v>
      </c>
      <c r="R84">
        <f>IF(MONTH(A84) = 4, 1, 0)</f>
        <v>0</v>
      </c>
      <c r="S84">
        <f>IF(MONTH(A84) = 7, 1, 0)</f>
        <v>1</v>
      </c>
      <c r="T84">
        <f>IF(MONTH(A84) = 10, 1, 0)</f>
        <v>0</v>
      </c>
      <c r="U84" s="2">
        <v>-6.1272799999999998</v>
      </c>
    </row>
    <row r="85" spans="1:21" x14ac:dyDescent="0.15">
      <c r="A85" s="11">
        <v>40452</v>
      </c>
      <c r="B85" s="2">
        <v>0.26167000000000001</v>
      </c>
      <c r="C85" s="2">
        <v>-0.66879999999999995</v>
      </c>
      <c r="D85" s="2">
        <v>0.50863000000000003</v>
      </c>
      <c r="E85" s="2">
        <v>1.2578400000000001</v>
      </c>
      <c r="F85" s="2">
        <v>116.66667</v>
      </c>
      <c r="G85" s="2">
        <v>9.5</v>
      </c>
      <c r="H85" s="2">
        <v>2.8412099999999998</v>
      </c>
      <c r="I85" s="8">
        <v>566.13900000000001</v>
      </c>
      <c r="J85">
        <v>1.4184570333333334E-2</v>
      </c>
      <c r="K85">
        <v>1.6049399333333336E-2</v>
      </c>
      <c r="L85">
        <f t="shared" si="5"/>
        <v>1.4184570333333333</v>
      </c>
      <c r="M85">
        <f t="shared" si="5"/>
        <v>1.6049399333333336</v>
      </c>
      <c r="N85">
        <v>4.7124661810717363</v>
      </c>
      <c r="O85">
        <f t="shared" si="4"/>
        <v>-1.5268548355941753</v>
      </c>
      <c r="P85" s="2">
        <f>H85-H81</f>
        <v>0.32530999999999999</v>
      </c>
      <c r="Q85" s="7">
        <f>IF(MONTH(A85) = 1, 1, 0)</f>
        <v>0</v>
      </c>
      <c r="R85">
        <f>IF(MONTH(A85) = 4, 1, 0)</f>
        <v>0</v>
      </c>
      <c r="S85">
        <f>IF(MONTH(A85) = 7, 1, 0)</f>
        <v>0</v>
      </c>
      <c r="T85">
        <f>IF(MONTH(A85) = 10, 1, 0)</f>
        <v>1</v>
      </c>
      <c r="U85" s="2">
        <v>-1.2128699999999999</v>
      </c>
    </row>
    <row r="86" spans="1:21" x14ac:dyDescent="0.15">
      <c r="A86" s="11">
        <v>40544</v>
      </c>
      <c r="B86" s="2">
        <v>0.47244000000000003</v>
      </c>
      <c r="C86" s="2">
        <v>0.15292</v>
      </c>
      <c r="D86" s="2">
        <v>1.4923500000000001</v>
      </c>
      <c r="E86" s="2">
        <v>1.2259100000000001</v>
      </c>
      <c r="F86" s="2">
        <v>38.461539999999999</v>
      </c>
      <c r="G86" s="2">
        <v>9.0333333333333332</v>
      </c>
      <c r="H86" s="2">
        <v>5.2414100000000001</v>
      </c>
      <c r="I86" s="8">
        <v>448.11399999999998</v>
      </c>
      <c r="J86">
        <v>1.9503891999999998E-2</v>
      </c>
      <c r="K86">
        <v>2.0018306333333333E-2</v>
      </c>
      <c r="L86">
        <f t="shared" si="5"/>
        <v>1.9503891999999998</v>
      </c>
      <c r="M86">
        <f t="shared" si="5"/>
        <v>2.0018306333333333</v>
      </c>
      <c r="N86">
        <v>4.6262056054864837</v>
      </c>
      <c r="O86">
        <f t="shared" si="4"/>
        <v>-1.3313460713363607</v>
      </c>
      <c r="P86" s="2">
        <f>H86-H82</f>
        <v>3.2996600000000003</v>
      </c>
      <c r="Q86" s="7">
        <f>IF(MONTH(A86) = 1, 1, 0)</f>
        <v>1</v>
      </c>
      <c r="R86">
        <f>IF(MONTH(A86) = 4, 1, 0)</f>
        <v>0</v>
      </c>
      <c r="S86">
        <f>IF(MONTH(A86) = 7, 1, 0)</f>
        <v>0</v>
      </c>
      <c r="T86">
        <f>IF(MONTH(A86) = 10, 1, 0)</f>
        <v>0</v>
      </c>
      <c r="U86" s="2">
        <v>1.16628</v>
      </c>
    </row>
    <row r="87" spans="1:21" x14ac:dyDescent="0.15">
      <c r="A87" s="11">
        <v>40634</v>
      </c>
      <c r="B87" s="2">
        <v>0.46738000000000002</v>
      </c>
      <c r="C87" s="2">
        <v>1.2466200000000001</v>
      </c>
      <c r="D87" s="2">
        <v>1.2536099999999999</v>
      </c>
      <c r="E87" s="2">
        <v>1.08762</v>
      </c>
      <c r="F87" s="2">
        <v>33.333329999999997</v>
      </c>
      <c r="G87" s="2">
        <v>9.0666666666666664</v>
      </c>
      <c r="H87" s="2">
        <v>5.0539699999999996</v>
      </c>
      <c r="I87" s="8">
        <v>468.29500000000002</v>
      </c>
      <c r="J87">
        <v>2.1619145666666662E-2</v>
      </c>
      <c r="K87">
        <v>2.0085433333333336E-2</v>
      </c>
      <c r="L87">
        <f t="shared" si="5"/>
        <v>2.1619145666666664</v>
      </c>
      <c r="M87">
        <f t="shared" si="5"/>
        <v>2.0085433333333338</v>
      </c>
      <c r="N87">
        <v>4.0427817046021302</v>
      </c>
      <c r="O87">
        <f t="shared" si="4"/>
        <v>-0.75809109201433067</v>
      </c>
      <c r="P87" s="2">
        <f>H87-H83</f>
        <v>4.6306899999999995</v>
      </c>
      <c r="Q87" s="7">
        <f>IF(MONTH(A87) = 1, 1, 0)</f>
        <v>0</v>
      </c>
      <c r="R87">
        <f>IF(MONTH(A87) = 4, 1, 0)</f>
        <v>1</v>
      </c>
      <c r="S87">
        <f>IF(MONTH(A87) = 7, 1, 0)</f>
        <v>0</v>
      </c>
      <c r="T87">
        <f>IF(MONTH(A87) = 10, 1, 0)</f>
        <v>0</v>
      </c>
      <c r="U87" s="2">
        <v>-0.52176</v>
      </c>
    </row>
    <row r="88" spans="1:21" x14ac:dyDescent="0.15">
      <c r="A88" s="11">
        <v>40725</v>
      </c>
      <c r="B88" s="2">
        <v>0.68376999999999999</v>
      </c>
      <c r="C88" s="2">
        <v>0.58216999999999997</v>
      </c>
      <c r="D88" s="2">
        <v>1.1693100000000001</v>
      </c>
      <c r="E88" s="2">
        <v>0.76829000000000003</v>
      </c>
      <c r="F88" s="2">
        <v>-25</v>
      </c>
      <c r="G88" s="2">
        <v>9</v>
      </c>
      <c r="H88" s="2">
        <v>-0.51378000000000001</v>
      </c>
      <c r="I88" s="8">
        <v>400.43700000000001</v>
      </c>
      <c r="J88">
        <v>1.6508462666666668E-2</v>
      </c>
      <c r="K88">
        <v>1.7595493666666667E-2</v>
      </c>
      <c r="L88">
        <f t="shared" si="5"/>
        <v>1.6508462666666668</v>
      </c>
      <c r="M88">
        <f t="shared" si="5"/>
        <v>1.7595493666666666</v>
      </c>
      <c r="N88">
        <v>3.8065216686659458</v>
      </c>
      <c r="O88">
        <f t="shared" si="4"/>
        <v>-0.92603064410962066</v>
      </c>
      <c r="P88" s="2">
        <f>H88-H84</f>
        <v>0.27652999999999994</v>
      </c>
      <c r="Q88" s="7">
        <f>IF(MONTH(A88) = 1, 1, 0)</f>
        <v>0</v>
      </c>
      <c r="R88">
        <f>IF(MONTH(A88) = 4, 1, 0)</f>
        <v>0</v>
      </c>
      <c r="S88">
        <f>IF(MONTH(A88) = 7, 1, 0)</f>
        <v>1</v>
      </c>
      <c r="T88">
        <f>IF(MONTH(A88) = 10, 1, 0)</f>
        <v>0</v>
      </c>
      <c r="U88" s="2">
        <v>0.86689000000000005</v>
      </c>
    </row>
    <row r="89" spans="1:21" x14ac:dyDescent="0.15">
      <c r="A89" s="11">
        <v>40817</v>
      </c>
      <c r="B89" s="2">
        <v>0.53337000000000001</v>
      </c>
      <c r="C89" s="2">
        <v>-0.62168999999999996</v>
      </c>
      <c r="D89" s="2">
        <v>0.67762</v>
      </c>
      <c r="E89" s="2">
        <v>0.50333000000000006</v>
      </c>
      <c r="F89" s="2">
        <v>-22.22222</v>
      </c>
      <c r="G89" s="2">
        <v>8.6333333333333329</v>
      </c>
      <c r="H89" s="2">
        <v>-9.3899999999999997E-2</v>
      </c>
      <c r="I89" s="8">
        <v>454.84</v>
      </c>
      <c r="J89">
        <v>1.5608402666666665E-2</v>
      </c>
      <c r="K89">
        <v>1.6130442666666665E-2</v>
      </c>
      <c r="L89">
        <f t="shared" si="5"/>
        <v>1.5608402666666665</v>
      </c>
      <c r="M89">
        <f t="shared" si="5"/>
        <v>1.6130442666666664</v>
      </c>
      <c r="N89">
        <v>3.6767810872764914</v>
      </c>
      <c r="O89">
        <f t="shared" si="4"/>
        <v>-1.0356850937952449</v>
      </c>
      <c r="P89" s="2">
        <f>H89-H85</f>
        <v>-2.9351099999999999</v>
      </c>
      <c r="Q89" s="7">
        <f>IF(MONTH(A89) = 1, 1, 0)</f>
        <v>0</v>
      </c>
      <c r="R89">
        <f>IF(MONTH(A89) = 4, 1, 0)</f>
        <v>0</v>
      </c>
      <c r="S89">
        <f>IF(MONTH(A89) = 7, 1, 0)</f>
        <v>0</v>
      </c>
      <c r="T89">
        <f>IF(MONTH(A89) = 10, 1, 0)</f>
        <v>1</v>
      </c>
      <c r="U89" s="2">
        <v>-2.92936</v>
      </c>
    </row>
    <row r="90" spans="1:21" x14ac:dyDescent="0.15">
      <c r="A90" s="11">
        <v>40909</v>
      </c>
      <c r="B90" s="2">
        <v>0.52569999999999995</v>
      </c>
      <c r="C90" s="2">
        <v>-1.9661299999999999</v>
      </c>
      <c r="D90" s="2">
        <v>0.69772999999999996</v>
      </c>
      <c r="E90" s="2">
        <v>1.3889400000000001</v>
      </c>
      <c r="F90" s="2">
        <v>78.571430000000007</v>
      </c>
      <c r="G90" s="2">
        <v>8.2666666666666675</v>
      </c>
      <c r="H90" s="2">
        <v>0.70489000000000002</v>
      </c>
      <c r="I90" s="8">
        <v>659.95799999999997</v>
      </c>
      <c r="J90">
        <v>1.4449727000000001E-2</v>
      </c>
      <c r="K90">
        <v>1.5757360333333331E-2</v>
      </c>
      <c r="L90">
        <f t="shared" si="5"/>
        <v>1.4449727000000001</v>
      </c>
      <c r="M90">
        <f t="shared" si="5"/>
        <v>1.575736033333333</v>
      </c>
      <c r="N90">
        <v>3.5441307115778344</v>
      </c>
      <c r="O90">
        <f t="shared" si="4"/>
        <v>-1.0820748939086493</v>
      </c>
      <c r="P90" s="2">
        <f>H90-H86</f>
        <v>-4.5365200000000003</v>
      </c>
      <c r="Q90" s="7">
        <f>IF(MONTH(A90) = 1, 1, 0)</f>
        <v>1</v>
      </c>
      <c r="R90">
        <f>IF(MONTH(A90) = 4, 1, 0)</f>
        <v>0</v>
      </c>
      <c r="S90">
        <f>IF(MONTH(A90) = 7, 1, 0)</f>
        <v>0</v>
      </c>
      <c r="T90">
        <f>IF(MONTH(A90) = 10, 1, 0)</f>
        <v>0</v>
      </c>
      <c r="U90" s="2">
        <v>-3.1346099999999999</v>
      </c>
    </row>
    <row r="91" spans="1:21" x14ac:dyDescent="0.15">
      <c r="A91" s="11">
        <v>41000</v>
      </c>
      <c r="B91" s="2">
        <v>0.49138999999999999</v>
      </c>
      <c r="C91" s="2">
        <v>-1.1808700000000001</v>
      </c>
      <c r="D91" s="2">
        <v>0.31407000000000002</v>
      </c>
      <c r="E91" s="2">
        <v>0.4173</v>
      </c>
      <c r="F91" s="2">
        <v>-32</v>
      </c>
      <c r="G91" s="2">
        <v>8.1999999999999993</v>
      </c>
      <c r="H91" s="2">
        <v>-0.88661000000000001</v>
      </c>
      <c r="I91" s="8">
        <v>603.21500000000003</v>
      </c>
      <c r="J91">
        <v>1.3555188233333333E-2</v>
      </c>
      <c r="K91">
        <v>1.5402332333333333E-2</v>
      </c>
      <c r="L91">
        <f t="shared" si="5"/>
        <v>1.3555188233333333</v>
      </c>
      <c r="M91">
        <f t="shared" si="5"/>
        <v>1.5402332333333333</v>
      </c>
      <c r="N91">
        <v>3.1529139006885778</v>
      </c>
      <c r="O91">
        <f t="shared" si="4"/>
        <v>-0.88986780391355236</v>
      </c>
      <c r="P91" s="2">
        <f>H91-H87</f>
        <v>-5.9405799999999997</v>
      </c>
      <c r="Q91" s="7">
        <f>IF(MONTH(A91) = 1, 1, 0)</f>
        <v>0</v>
      </c>
      <c r="R91">
        <f>IF(MONTH(A91) = 4, 1, 0)</f>
        <v>1</v>
      </c>
      <c r="S91">
        <f>IF(MONTH(A91) = 7, 1, 0)</f>
        <v>0</v>
      </c>
      <c r="T91">
        <f>IF(MONTH(A91) = 10, 1, 0)</f>
        <v>0</v>
      </c>
      <c r="U91" s="2">
        <v>-1.1612</v>
      </c>
    </row>
    <row r="92" spans="1:21" x14ac:dyDescent="0.15">
      <c r="A92" s="11">
        <v>41091</v>
      </c>
      <c r="B92" s="2">
        <v>0.45219999999999999</v>
      </c>
      <c r="C92" s="2">
        <v>-5.2499999999999998E-2</v>
      </c>
      <c r="D92" s="2">
        <v>0.27822999999999998</v>
      </c>
      <c r="E92" s="2">
        <v>0.49370999999999998</v>
      </c>
      <c r="F92" s="2">
        <v>-29.411760000000001</v>
      </c>
      <c r="G92" s="2">
        <v>8.0333333333333332</v>
      </c>
      <c r="H92" s="2">
        <v>-1.62429</v>
      </c>
      <c r="I92" s="8">
        <v>624.34699999999998</v>
      </c>
      <c r="J92">
        <v>1.5327489E-2</v>
      </c>
      <c r="K92">
        <v>1.4983123666666667E-2</v>
      </c>
      <c r="L92">
        <f t="shared" si="5"/>
        <v>1.5327489000000001</v>
      </c>
      <c r="M92">
        <f t="shared" si="5"/>
        <v>1.4983123666666667</v>
      </c>
      <c r="N92">
        <v>3.2114196950321059</v>
      </c>
      <c r="O92">
        <f t="shared" si="4"/>
        <v>-0.59510197363383988</v>
      </c>
      <c r="P92" s="2">
        <f>H92-H88</f>
        <v>-1.1105100000000001</v>
      </c>
      <c r="Q92" s="7">
        <f>IF(MONTH(A92) = 1, 1, 0)</f>
        <v>0</v>
      </c>
      <c r="R92">
        <f>IF(MONTH(A92) = 4, 1, 0)</f>
        <v>0</v>
      </c>
      <c r="S92">
        <f>IF(MONTH(A92) = 7, 1, 0)</f>
        <v>1</v>
      </c>
      <c r="T92">
        <f>IF(MONTH(A92) = 10, 1, 0)</f>
        <v>0</v>
      </c>
      <c r="U92" s="2">
        <v>0.86116999999999999</v>
      </c>
    </row>
    <row r="93" spans="1:21" x14ac:dyDescent="0.15">
      <c r="A93" s="11">
        <v>41183</v>
      </c>
      <c r="B93" s="2">
        <v>0.46565000000000001</v>
      </c>
      <c r="C93" s="2">
        <v>1.3045599999999999</v>
      </c>
      <c r="D93" s="2">
        <v>0.43869000000000002</v>
      </c>
      <c r="E93" s="2">
        <v>0.96118000000000003</v>
      </c>
      <c r="F93" s="2">
        <v>50</v>
      </c>
      <c r="G93" s="2">
        <v>7.8</v>
      </c>
      <c r="H93" s="2">
        <v>0.69394999999999996</v>
      </c>
      <c r="I93" s="8">
        <v>488.351</v>
      </c>
      <c r="J93">
        <v>1.7930800333333333E-2</v>
      </c>
      <c r="K93">
        <v>1.5156210333333331E-2</v>
      </c>
      <c r="L93">
        <f t="shared" si="5"/>
        <v>1.7930800333333334</v>
      </c>
      <c r="M93">
        <f t="shared" si="5"/>
        <v>1.5156210333333331</v>
      </c>
      <c r="N93">
        <v>3.1712001745836425</v>
      </c>
      <c r="O93">
        <f t="shared" si="4"/>
        <v>-0.50558091269284899</v>
      </c>
      <c r="P93" s="2">
        <f>H93-H89</f>
        <v>0.78784999999999994</v>
      </c>
      <c r="Q93" s="7">
        <f>IF(MONTH(A93) = 1, 1, 0)</f>
        <v>0</v>
      </c>
      <c r="R93">
        <f>IF(MONTH(A93) = 4, 1, 0)</f>
        <v>0</v>
      </c>
      <c r="S93">
        <f>IF(MONTH(A93) = 7, 1, 0)</f>
        <v>0</v>
      </c>
      <c r="T93">
        <f>IF(MONTH(A93) = 10, 1, 0)</f>
        <v>1</v>
      </c>
      <c r="U93" s="2">
        <v>0.45355000000000001</v>
      </c>
    </row>
    <row r="94" spans="1:21" x14ac:dyDescent="0.15">
      <c r="A94" s="11">
        <v>41275</v>
      </c>
      <c r="B94" s="2">
        <v>0.50614000000000003</v>
      </c>
      <c r="C94" s="2">
        <v>0.68927000000000005</v>
      </c>
      <c r="D94" s="2">
        <v>0.5403</v>
      </c>
      <c r="E94" s="2">
        <v>1.0030699999999999</v>
      </c>
      <c r="F94" s="2">
        <v>-11.11111</v>
      </c>
      <c r="G94" s="2">
        <v>7.7333333333333334</v>
      </c>
      <c r="H94" s="2">
        <v>0.42775999999999997</v>
      </c>
      <c r="I94" s="8">
        <v>453.02699999999999</v>
      </c>
      <c r="J94">
        <v>1.2271109000000001E-2</v>
      </c>
      <c r="K94">
        <v>1.4797120999999998E-2</v>
      </c>
      <c r="L94">
        <f t="shared" si="5"/>
        <v>1.2271109</v>
      </c>
      <c r="M94">
        <f t="shared" si="5"/>
        <v>1.4797120999999998</v>
      </c>
      <c r="N94">
        <v>3.2008924028161716</v>
      </c>
      <c r="O94">
        <f t="shared" si="4"/>
        <v>-0.34323830876166284</v>
      </c>
      <c r="P94" s="2">
        <f>H94-H90</f>
        <v>-0.27713000000000004</v>
      </c>
      <c r="Q94" s="7">
        <f>IF(MONTH(A94) = 1, 1, 0)</f>
        <v>1</v>
      </c>
      <c r="R94">
        <f>IF(MONTH(A94) = 4, 1, 0)</f>
        <v>0</v>
      </c>
      <c r="S94">
        <f>IF(MONTH(A94) = 7, 1, 0)</f>
        <v>0</v>
      </c>
      <c r="T94">
        <f>IF(MONTH(A94) = 10, 1, 0)</f>
        <v>0</v>
      </c>
      <c r="U94" s="2">
        <v>0.10195</v>
      </c>
    </row>
    <row r="95" spans="1:21" x14ac:dyDescent="0.15">
      <c r="A95" s="11">
        <v>41365</v>
      </c>
      <c r="B95" s="2">
        <v>0.22735</v>
      </c>
      <c r="C95" s="2">
        <v>1.72977</v>
      </c>
      <c r="D95" s="2">
        <v>0.16714000000000001</v>
      </c>
      <c r="E95" s="2">
        <v>0.33723999999999998</v>
      </c>
      <c r="F95" s="2">
        <v>-31.25</v>
      </c>
      <c r="G95" s="2">
        <v>7.5333333333333332</v>
      </c>
      <c r="H95" s="2">
        <v>-0.99385000000000001</v>
      </c>
      <c r="I95" s="8">
        <v>363.41300000000001</v>
      </c>
      <c r="J95">
        <v>1.3291835333333335E-2</v>
      </c>
      <c r="K95">
        <v>1.4753454999999999E-2</v>
      </c>
      <c r="L95">
        <f t="shared" si="5"/>
        <v>1.3291835333333335</v>
      </c>
      <c r="M95">
        <f t="shared" si="5"/>
        <v>1.4753455</v>
      </c>
      <c r="N95">
        <v>2.7348786613478651</v>
      </c>
      <c r="O95">
        <f t="shared" si="4"/>
        <v>-0.41803523934071274</v>
      </c>
      <c r="P95" s="2">
        <f>H95-H91</f>
        <v>-0.10724</v>
      </c>
      <c r="Q95" s="7">
        <f>IF(MONTH(A95) = 1, 1, 0)</f>
        <v>0</v>
      </c>
      <c r="R95">
        <f>IF(MONTH(A95) = 4, 1, 0)</f>
        <v>1</v>
      </c>
      <c r="S95">
        <f>IF(MONTH(A95) = 7, 1, 0)</f>
        <v>0</v>
      </c>
      <c r="T95">
        <f>IF(MONTH(A95) = 10, 1, 0)</f>
        <v>0</v>
      </c>
      <c r="U95" s="2">
        <v>-4.0893600000000001</v>
      </c>
    </row>
    <row r="96" spans="1:21" x14ac:dyDescent="0.15">
      <c r="A96" s="11">
        <v>41456</v>
      </c>
      <c r="B96" s="2">
        <v>0.53463000000000005</v>
      </c>
      <c r="C96" s="2">
        <v>-4.3290000000000002E-2</v>
      </c>
      <c r="D96" s="2">
        <v>0.24923999999999999</v>
      </c>
      <c r="E96" s="2">
        <v>0.81891999999999998</v>
      </c>
      <c r="F96" s="2">
        <v>45.454549999999998</v>
      </c>
      <c r="G96" s="2">
        <v>7.2333333333333334</v>
      </c>
      <c r="H96" s="2">
        <v>-7.17E-2</v>
      </c>
      <c r="I96" s="8">
        <v>471.23500000000001</v>
      </c>
      <c r="J96">
        <v>1.6676276333333333E-2</v>
      </c>
      <c r="K96">
        <v>1.7538161E-2</v>
      </c>
      <c r="L96">
        <f t="shared" si="5"/>
        <v>1.6676276333333333</v>
      </c>
      <c r="M96">
        <f t="shared" si="5"/>
        <v>1.7538161000000001</v>
      </c>
      <c r="N96">
        <v>2.7587992630482159</v>
      </c>
      <c r="O96">
        <f t="shared" si="4"/>
        <v>-0.45262043198389001</v>
      </c>
      <c r="P96" s="2">
        <f>H96-H92</f>
        <v>1.5525899999999999</v>
      </c>
      <c r="Q96" s="7">
        <f>IF(MONTH(A96) = 1, 1, 0)</f>
        <v>0</v>
      </c>
      <c r="R96">
        <f>IF(MONTH(A96) = 4, 1, 0)</f>
        <v>0</v>
      </c>
      <c r="S96">
        <f>IF(MONTH(A96) = 7, 1, 0)</f>
        <v>1</v>
      </c>
      <c r="T96">
        <f>IF(MONTH(A96) = 10, 1, 0)</f>
        <v>0</v>
      </c>
      <c r="U96" s="2">
        <v>-1.3927099999999999</v>
      </c>
    </row>
    <row r="97" spans="1:21" x14ac:dyDescent="0.15">
      <c r="A97" s="11">
        <v>41548</v>
      </c>
      <c r="B97" s="2">
        <v>0.44429000000000002</v>
      </c>
      <c r="C97" s="2">
        <v>0.29210000000000003</v>
      </c>
      <c r="D97" s="2">
        <v>0.20394999999999999</v>
      </c>
      <c r="E97" s="2">
        <v>1.2523</v>
      </c>
      <c r="F97" s="2">
        <v>6.25</v>
      </c>
      <c r="G97" s="2">
        <v>6.9333333333333336</v>
      </c>
      <c r="H97" s="2">
        <v>-0.88495999999999997</v>
      </c>
      <c r="I97" s="8">
        <v>638.86800000000005</v>
      </c>
      <c r="J97">
        <v>1.6433769000000001E-2</v>
      </c>
      <c r="K97">
        <v>1.7420455999999997E-2</v>
      </c>
      <c r="L97">
        <f t="shared" si="5"/>
        <v>1.6433769</v>
      </c>
      <c r="M97">
        <f t="shared" si="5"/>
        <v>1.7420455999999997</v>
      </c>
      <c r="N97">
        <v>2.6337062227799457</v>
      </c>
      <c r="O97">
        <f t="shared" si="4"/>
        <v>-0.53749395180369675</v>
      </c>
      <c r="P97" s="2">
        <f>H97-H93</f>
        <v>-1.57891</v>
      </c>
      <c r="Q97" s="7">
        <f>IF(MONTH(A97) = 1, 1, 0)</f>
        <v>0</v>
      </c>
      <c r="R97">
        <f>IF(MONTH(A97) = 4, 1, 0)</f>
        <v>0</v>
      </c>
      <c r="S97">
        <f>IF(MONTH(A97) = 7, 1, 0)</f>
        <v>0</v>
      </c>
      <c r="T97">
        <f>IF(MONTH(A97) = 10, 1, 0)</f>
        <v>1</v>
      </c>
      <c r="U97" s="2">
        <v>-0.47350999999999999</v>
      </c>
    </row>
    <row r="98" spans="1:21" x14ac:dyDescent="0.15">
      <c r="A98" s="11">
        <v>41640</v>
      </c>
      <c r="B98" s="2">
        <v>0.38695000000000002</v>
      </c>
      <c r="C98" s="2">
        <v>3.3832599999999999</v>
      </c>
      <c r="D98" s="2">
        <v>0.77056000000000002</v>
      </c>
      <c r="E98" s="2">
        <v>0.82040000000000002</v>
      </c>
      <c r="F98" s="2">
        <v>-23.529409999999999</v>
      </c>
      <c r="G98" s="2">
        <v>6.666666666666667</v>
      </c>
      <c r="H98" s="2">
        <v>1.0135099999999999</v>
      </c>
      <c r="I98" s="8">
        <v>455.815</v>
      </c>
      <c r="J98">
        <v>1.4811783666666667E-2</v>
      </c>
      <c r="K98">
        <v>1.7877615666666666E-2</v>
      </c>
      <c r="L98">
        <f t="shared" si="5"/>
        <v>1.4811783666666667</v>
      </c>
      <c r="M98">
        <f t="shared" si="5"/>
        <v>1.7877615666666666</v>
      </c>
      <c r="N98">
        <v>2.5713342090958977</v>
      </c>
      <c r="O98">
        <f t="shared" si="4"/>
        <v>-0.62955819372027388</v>
      </c>
      <c r="P98" s="2">
        <f>H98-H94</f>
        <v>0.58574999999999999</v>
      </c>
      <c r="Q98" s="7">
        <f>IF(MONTH(A98) = 1, 1, 0)</f>
        <v>1</v>
      </c>
      <c r="R98">
        <f>IF(MONTH(A98) = 4, 1, 0)</f>
        <v>0</v>
      </c>
      <c r="S98">
        <f>IF(MONTH(A98) = 7, 1, 0)</f>
        <v>0</v>
      </c>
      <c r="T98">
        <f>IF(MONTH(A98) = 10, 1, 0)</f>
        <v>0</v>
      </c>
      <c r="U98" s="2">
        <v>0.89456999999999998</v>
      </c>
    </row>
    <row r="99" spans="1:21" x14ac:dyDescent="0.15">
      <c r="A99" s="11">
        <v>41730</v>
      </c>
      <c r="B99" s="2">
        <v>0.51737</v>
      </c>
      <c r="C99" s="2">
        <v>0.73085</v>
      </c>
      <c r="D99" s="2">
        <v>0.99168000000000001</v>
      </c>
      <c r="E99" s="2">
        <v>1.4119299999999999</v>
      </c>
      <c r="F99" s="2">
        <v>38.461539999999999</v>
      </c>
      <c r="G99" s="2">
        <v>6.2</v>
      </c>
      <c r="H99" s="2">
        <v>0.40611999999999998</v>
      </c>
      <c r="I99" s="8">
        <v>694.40800000000002</v>
      </c>
      <c r="J99">
        <v>1.6493156000000002E-2</v>
      </c>
      <c r="K99">
        <v>1.8579101000000001E-2</v>
      </c>
      <c r="L99">
        <f t="shared" si="5"/>
        <v>1.6493156000000002</v>
      </c>
      <c r="M99">
        <f t="shared" si="5"/>
        <v>1.8579101</v>
      </c>
      <c r="N99">
        <v>1.9274659722882281</v>
      </c>
      <c r="O99">
        <f t="shared" si="4"/>
        <v>-0.80741268905963692</v>
      </c>
      <c r="P99" s="2">
        <f>H99-H95</f>
        <v>1.3999699999999999</v>
      </c>
      <c r="Q99" s="7">
        <f>IF(MONTH(A99) = 1, 1, 0)</f>
        <v>0</v>
      </c>
      <c r="R99">
        <f>IF(MONTH(A99) = 4, 1, 0)</f>
        <v>1</v>
      </c>
      <c r="S99">
        <f>IF(MONTH(A99) = 7, 1, 0)</f>
        <v>0</v>
      </c>
      <c r="T99">
        <f>IF(MONTH(A99) = 10, 1, 0)</f>
        <v>0</v>
      </c>
      <c r="U99" s="2">
        <v>-2.2879999999999998</v>
      </c>
    </row>
    <row r="100" spans="1:21" x14ac:dyDescent="0.15">
      <c r="A100" s="11">
        <v>41821</v>
      </c>
      <c r="B100" s="2">
        <v>0.41378999999999999</v>
      </c>
      <c r="C100" s="2">
        <v>4.8999999999999998E-3</v>
      </c>
      <c r="D100" s="2">
        <v>0.75316000000000005</v>
      </c>
      <c r="E100" s="2">
        <v>1.26498</v>
      </c>
      <c r="F100" s="2">
        <v>-16.66667</v>
      </c>
      <c r="G100" s="2">
        <v>6.0666666666666664</v>
      </c>
      <c r="H100" s="2">
        <v>-0.78515000000000001</v>
      </c>
      <c r="I100" s="8">
        <v>769.41800000000001</v>
      </c>
      <c r="J100">
        <v>1.9270282333333333E-2</v>
      </c>
      <c r="K100">
        <v>1.8915243666666665E-2</v>
      </c>
      <c r="L100">
        <f t="shared" si="5"/>
        <v>1.9270282333333333</v>
      </c>
      <c r="M100">
        <f t="shared" si="5"/>
        <v>1.8915243666666663</v>
      </c>
      <c r="N100">
        <v>1.8666524770932937</v>
      </c>
      <c r="O100">
        <f t="shared" si="4"/>
        <v>-0.89214678595492214</v>
      </c>
      <c r="P100" s="2">
        <f>H100-H96</f>
        <v>-0.71345000000000003</v>
      </c>
      <c r="Q100" s="7">
        <f>IF(MONTH(A100) = 1, 1, 0)</f>
        <v>0</v>
      </c>
      <c r="R100">
        <f>IF(MONTH(A100) = 4, 1, 0)</f>
        <v>0</v>
      </c>
      <c r="S100">
        <f>IF(MONTH(A100) = 7, 1, 0)</f>
        <v>1</v>
      </c>
      <c r="T100">
        <f>IF(MONTH(A100) = 10, 1, 0)</f>
        <v>0</v>
      </c>
      <c r="U100" s="2">
        <v>4.0347400000000002</v>
      </c>
    </row>
    <row r="101" spans="1:21" x14ac:dyDescent="0.15">
      <c r="A101" s="11">
        <v>41913</v>
      </c>
      <c r="B101" s="2">
        <v>0.39796999999999999</v>
      </c>
      <c r="C101" s="2">
        <v>-0.80632000000000004</v>
      </c>
      <c r="D101" s="2">
        <v>0.66427000000000003</v>
      </c>
      <c r="E101" s="2">
        <v>1.0178499999999999</v>
      </c>
      <c r="F101" s="2">
        <v>-26.66667</v>
      </c>
      <c r="G101" s="2">
        <v>5.7</v>
      </c>
      <c r="H101" s="2">
        <v>-4.1726599999999996</v>
      </c>
      <c r="I101" s="8">
        <v>616.88400000000001</v>
      </c>
      <c r="J101">
        <v>1.7031663666666665E-2</v>
      </c>
      <c r="K101">
        <v>1.8468636E-2</v>
      </c>
      <c r="L101">
        <f t="shared" si="5"/>
        <v>1.7031663666666665</v>
      </c>
      <c r="M101">
        <f t="shared" si="5"/>
        <v>1.8468636</v>
      </c>
      <c r="N101">
        <v>1.8008434279941214</v>
      </c>
      <c r="O101">
        <f t="shared" si="4"/>
        <v>-0.83286279478582426</v>
      </c>
      <c r="P101" s="2">
        <f>H101-H97</f>
        <v>-3.2876999999999996</v>
      </c>
      <c r="Q101" s="7">
        <f>IF(MONTH(A101) = 1, 1, 0)</f>
        <v>0</v>
      </c>
      <c r="R101">
        <f>IF(MONTH(A101) = 4, 1, 0)</f>
        <v>0</v>
      </c>
      <c r="S101">
        <f>IF(MONTH(A101) = 7, 1, 0)</f>
        <v>0</v>
      </c>
      <c r="T101">
        <f>IF(MONTH(A101) = 10, 1, 0)</f>
        <v>1</v>
      </c>
      <c r="U101" s="2">
        <v>7.7073999999999998</v>
      </c>
    </row>
  </sheetData>
  <hyperlinks>
    <hyperlink ref="C1" r:id="rId1" xr:uid="{00523FF4-BC7E-B74E-94EC-CA57713876B6}"/>
    <hyperlink ref="D1" r:id="rId2" location="0" xr:uid="{2AAB222F-15EB-6847-B11A-3DD227DCBCF4}"/>
    <hyperlink ref="J1" r:id="rId3" display="EI1" xr:uid="{59145584-97FF-C546-8424-87C60DF6CB67}"/>
    <hyperlink ref="K1" r:id="rId4" display="EI10" xr:uid="{ACC36B71-111E-0446-B486-53AE5BC01B6B}"/>
    <hyperlink ref="E1" r:id="rId5" xr:uid="{29D15AE5-3B2D-3F4D-A931-D754A217FB2D}"/>
    <hyperlink ref="F1" r:id="rId6" location="0" xr:uid="{10176882-956A-3440-981C-6CF886086CCE}"/>
    <hyperlink ref="H1" r:id="rId7" location="0" xr:uid="{CA7B2DDE-9333-EE47-A39A-846CB6A029F5}"/>
    <hyperlink ref="B1" r:id="rId8" display="CPI, quarterly, annualized" xr:uid="{9D2C561A-748A-0A4C-AB73-A54E9926206A}"/>
    <hyperlink ref="I1" r:id="rId9" xr:uid="{4B35B2A8-1050-BC45-B31C-55FD46C1222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E956-84D3-4319-874D-95807C34E19F}">
  <dimension ref="A1:AD25"/>
  <sheetViews>
    <sheetView zoomScale="139" workbookViewId="0">
      <pane xSplit="1" topLeftCell="J1" activePane="topRight" state="frozen"/>
      <selection pane="topRight" activeCell="L22" sqref="L22"/>
    </sheetView>
  </sheetViews>
  <sheetFormatPr baseColWidth="10" defaultColWidth="8.83203125" defaultRowHeight="13" x14ac:dyDescent="0.15"/>
  <cols>
    <col min="1" max="1" width="10.83203125" customWidth="1"/>
  </cols>
  <sheetData>
    <row r="1" spans="1:30" x14ac:dyDescent="0.15">
      <c r="A1" s="4" t="s">
        <v>0</v>
      </c>
      <c r="B1" s="3" t="s">
        <v>1</v>
      </c>
      <c r="C1" s="3" t="s">
        <v>12</v>
      </c>
      <c r="D1" s="3" t="s">
        <v>14</v>
      </c>
      <c r="E1" s="3" t="s">
        <v>42</v>
      </c>
      <c r="F1" s="3" t="s">
        <v>43</v>
      </c>
      <c r="G1" s="9" t="s">
        <v>65</v>
      </c>
      <c r="H1" s="3" t="s">
        <v>59</v>
      </c>
      <c r="I1" s="3" t="s">
        <v>23</v>
      </c>
      <c r="J1" s="3" t="s">
        <v>4</v>
      </c>
      <c r="K1" s="3" t="s">
        <v>5</v>
      </c>
      <c r="L1" s="3" t="s">
        <v>108</v>
      </c>
      <c r="M1" s="7" t="s">
        <v>95</v>
      </c>
      <c r="N1" s="3" t="s">
        <v>2</v>
      </c>
      <c r="O1" s="7" t="s">
        <v>16</v>
      </c>
      <c r="P1" s="7" t="s">
        <v>63</v>
      </c>
      <c r="Q1" s="7" t="s">
        <v>99</v>
      </c>
      <c r="R1" s="7" t="s">
        <v>86</v>
      </c>
      <c r="S1" s="7" t="s">
        <v>102</v>
      </c>
      <c r="T1" s="7" t="s">
        <v>85</v>
      </c>
      <c r="U1" s="7" t="s">
        <v>100</v>
      </c>
      <c r="V1" s="7" t="s">
        <v>84</v>
      </c>
      <c r="W1" s="7" t="s">
        <v>101</v>
      </c>
      <c r="X1" s="7" t="s">
        <v>96</v>
      </c>
      <c r="Y1" s="7" t="s">
        <v>79</v>
      </c>
      <c r="Z1" s="7" t="s">
        <v>78</v>
      </c>
      <c r="AA1" s="7" t="s">
        <v>73</v>
      </c>
      <c r="AB1" s="7" t="s">
        <v>74</v>
      </c>
      <c r="AC1" s="7" t="s">
        <v>75</v>
      </c>
      <c r="AD1" s="7" t="s">
        <v>76</v>
      </c>
    </row>
    <row r="2" spans="1:30" x14ac:dyDescent="0.15">
      <c r="A2" s="1">
        <v>43101</v>
      </c>
      <c r="B2" s="2">
        <v>0.72208000000000006</v>
      </c>
      <c r="C2" s="2">
        <v>0.46298</v>
      </c>
      <c r="D2" s="2">
        <v>0.4677</v>
      </c>
      <c r="E2" s="2">
        <v>1.42913</v>
      </c>
      <c r="F2" s="2">
        <v>44.44444</v>
      </c>
      <c r="G2" s="2">
        <v>4.0333333333333332</v>
      </c>
      <c r="H2" s="2">
        <v>1.3070200000000001</v>
      </c>
      <c r="I2" s="8">
        <v>864.69899999999996</v>
      </c>
      <c r="J2">
        <v>1.9105596905322344E-2</v>
      </c>
      <c r="K2">
        <v>1.9999974413975732E-2</v>
      </c>
      <c r="L2">
        <f>J2-K2</f>
        <v>-8.9437750865338853E-4</v>
      </c>
      <c r="M2">
        <v>1.0716154281735095</v>
      </c>
      <c r="N2" s="2">
        <v>0.91742999999999997</v>
      </c>
      <c r="O2">
        <v>0.35442861847608303</v>
      </c>
      <c r="P2">
        <v>31.551900688266205</v>
      </c>
      <c r="R2">
        <v>22.110780697261195</v>
      </c>
      <c r="T2">
        <v>44.982580173639754</v>
      </c>
      <c r="V2">
        <v>27.562341193897669</v>
      </c>
      <c r="X2">
        <v>-0.30619054198438556</v>
      </c>
      <c r="Y2">
        <v>0.22899336352874441</v>
      </c>
      <c r="Z2">
        <v>0.31774000000000002</v>
      </c>
      <c r="AA2">
        <f>IF(MONTH(A2) = 1, 1, 0)</f>
        <v>1</v>
      </c>
      <c r="AB2">
        <f>IF(MONTH(A2) = 4, 1, 0)</f>
        <v>0</v>
      </c>
      <c r="AC2">
        <f>IF(MONTH(A2) = 7, 1, 0)</f>
        <v>0</v>
      </c>
      <c r="AD2">
        <f>IF(MONTH(A2) = 10, 1, 0)</f>
        <v>0</v>
      </c>
    </row>
    <row r="3" spans="1:30" x14ac:dyDescent="0.15">
      <c r="A3" s="1">
        <v>43191</v>
      </c>
      <c r="B3" s="2">
        <v>0.51981999999999995</v>
      </c>
      <c r="C3" s="2">
        <v>-0.27757999999999999</v>
      </c>
      <c r="D3" s="2">
        <v>0.33567000000000002</v>
      </c>
      <c r="E3" s="2">
        <v>1.06365</v>
      </c>
      <c r="F3" s="2">
        <v>-15.38462</v>
      </c>
      <c r="G3" s="2">
        <v>3.9333333333333331</v>
      </c>
      <c r="H3" s="2">
        <v>0.97419999999999995</v>
      </c>
      <c r="I3" s="8">
        <v>931.50300000000004</v>
      </c>
      <c r="J3">
        <v>1.8018564840747892E-2</v>
      </c>
      <c r="K3">
        <v>2.0406281438800081E-2</v>
      </c>
      <c r="L3">
        <f t="shared" ref="L3:L19" si="0">J3-K3</f>
        <v>-2.3877165980521892E-3</v>
      </c>
      <c r="M3">
        <v>0.85594528052056151</v>
      </c>
      <c r="N3" s="2">
        <v>0.60606000000000004</v>
      </c>
      <c r="O3">
        <v>0.4183023464136455</v>
      </c>
      <c r="P3">
        <v>30.025501044688124</v>
      </c>
      <c r="Q3">
        <f>(P3-P2)/P2</f>
        <v>-4.8377422921647692E-2</v>
      </c>
      <c r="R3">
        <v>20.806227793067219</v>
      </c>
      <c r="S3">
        <f>(R3-R2)</f>
        <v>-1.3045529041939758</v>
      </c>
      <c r="T3">
        <v>42.321339395517953</v>
      </c>
      <c r="U3">
        <f>(T3-T2)/T2</f>
        <v>-5.9161585837206265E-2</v>
      </c>
      <c r="V3">
        <v>26.948935945479196</v>
      </c>
      <c r="W3">
        <f>(V3-V2)/V2</f>
        <v>-2.2255193929399657E-2</v>
      </c>
      <c r="X3">
        <v>-0.2365469341601435</v>
      </c>
      <c r="Y3">
        <v>0.43475886609530956</v>
      </c>
      <c r="Z3">
        <v>0.86535999999999991</v>
      </c>
      <c r="AA3">
        <f t="shared" ref="AA3:AA19" si="1">IF(MONTH(A3) = 1, 1, 0)</f>
        <v>0</v>
      </c>
      <c r="AB3">
        <f t="shared" ref="AB3:AB19" si="2">IF(MONTH(A3) = 4, 1, 0)</f>
        <v>1</v>
      </c>
      <c r="AC3">
        <f t="shared" ref="AC3:AC19" si="3">IF(MONTH(A3) = 7, 1, 0)</f>
        <v>0</v>
      </c>
      <c r="AD3">
        <f t="shared" ref="AD3:AD19" si="4">IF(MONTH(A3) = 10, 1, 0)</f>
        <v>0</v>
      </c>
    </row>
    <row r="4" spans="1:30" x14ac:dyDescent="0.15">
      <c r="A4" s="1">
        <v>43282</v>
      </c>
      <c r="B4" s="2">
        <v>0.36101</v>
      </c>
      <c r="C4" s="2">
        <v>-0.70862999999999998</v>
      </c>
      <c r="D4" s="2">
        <v>0.35258</v>
      </c>
      <c r="E4" s="2">
        <v>0.79857999999999996</v>
      </c>
      <c r="F4" s="2">
        <v>-40.909089999999999</v>
      </c>
      <c r="G4" s="2">
        <v>3.7666666666666666</v>
      </c>
      <c r="H4" s="2">
        <v>-2.6079999999999999E-2</v>
      </c>
      <c r="I4" s="8">
        <v>881.38900000000001</v>
      </c>
      <c r="J4">
        <v>2.2205206710704205E-2</v>
      </c>
      <c r="K4">
        <v>2.124077575738062E-2</v>
      </c>
      <c r="L4">
        <f t="shared" si="0"/>
        <v>9.644309533235855E-4</v>
      </c>
      <c r="M4">
        <v>0.83650415169967829</v>
      </c>
      <c r="N4" s="2">
        <v>0.82830999999999999</v>
      </c>
      <c r="O4">
        <v>0.45260588793696016</v>
      </c>
      <c r="P4">
        <v>30.505628598901609</v>
      </c>
      <c r="Q4">
        <f t="shared" ref="Q4:Q19" si="5">(P4-P3)/P3</f>
        <v>1.5990659189962984E-2</v>
      </c>
      <c r="R4">
        <v>21.169902280689019</v>
      </c>
      <c r="S4">
        <f t="shared" ref="S4:S19" si="6">(R4-R3)</f>
        <v>0.36367448762180032</v>
      </c>
      <c r="T4">
        <v>43.016512814690522</v>
      </c>
      <c r="U4">
        <f t="shared" ref="U4:U19" si="7">(T4-T3)/T3</f>
        <v>1.6426073208027806E-2</v>
      </c>
      <c r="V4">
        <v>27.330470701325282</v>
      </c>
      <c r="W4">
        <f t="shared" ref="W4:W19" si="8">(V4-V3)/V3</f>
        <v>1.4157692779335526E-2</v>
      </c>
      <c r="X4">
        <v>-0.25101951325874716</v>
      </c>
      <c r="Y4">
        <v>0.11686296743784819</v>
      </c>
      <c r="Z4">
        <v>-0.32506999999999997</v>
      </c>
      <c r="AA4">
        <f t="shared" si="1"/>
        <v>0</v>
      </c>
      <c r="AB4">
        <f t="shared" si="2"/>
        <v>0</v>
      </c>
      <c r="AC4">
        <f t="shared" si="3"/>
        <v>1</v>
      </c>
      <c r="AD4">
        <f t="shared" si="4"/>
        <v>0</v>
      </c>
    </row>
    <row r="5" spans="1:30" x14ac:dyDescent="0.15">
      <c r="A5" s="1">
        <v>43374</v>
      </c>
      <c r="B5" s="2">
        <v>0.57638999999999996</v>
      </c>
      <c r="C5" s="2">
        <v>0.72636000000000001</v>
      </c>
      <c r="D5" s="2">
        <v>0.2271</v>
      </c>
      <c r="E5" s="2">
        <v>0.69274999999999998</v>
      </c>
      <c r="F5" s="2">
        <v>46.153849999999998</v>
      </c>
      <c r="G5" s="2">
        <v>3.8333333333333335</v>
      </c>
      <c r="H5" s="2">
        <v>-1.17371</v>
      </c>
      <c r="I5" s="8">
        <v>669.31500000000005</v>
      </c>
      <c r="J5">
        <v>2.1200842788934953E-2</v>
      </c>
      <c r="K5">
        <v>2.137434581614121E-2</v>
      </c>
      <c r="L5">
        <f t="shared" si="0"/>
        <v>-1.7350302720625654E-4</v>
      </c>
      <c r="M5">
        <v>0.81474317335273294</v>
      </c>
      <c r="N5" s="2">
        <v>0.74682999999999999</v>
      </c>
      <c r="O5">
        <v>0.45898202729893228</v>
      </c>
      <c r="P5">
        <v>30.96555007407137</v>
      </c>
      <c r="Q5">
        <f t="shared" si="5"/>
        <v>1.5076610327128972E-2</v>
      </c>
      <c r="R5">
        <v>20.861967244852355</v>
      </c>
      <c r="S5">
        <f t="shared" si="6"/>
        <v>-0.30793503583666393</v>
      </c>
      <c r="T5">
        <v>44.123784307698777</v>
      </c>
      <c r="U5">
        <f t="shared" si="7"/>
        <v>2.5740614953569933E-2</v>
      </c>
      <c r="V5">
        <v>27.91089866966297</v>
      </c>
      <c r="W5">
        <f t="shared" si="8"/>
        <v>2.123739377491007E-2</v>
      </c>
      <c r="X5">
        <v>-0.22410891299997482</v>
      </c>
      <c r="Y5">
        <v>-0.28728199809197946</v>
      </c>
      <c r="Z5">
        <v>-2.7726299999999999</v>
      </c>
      <c r="AA5">
        <f t="shared" si="1"/>
        <v>0</v>
      </c>
      <c r="AB5">
        <f t="shared" si="2"/>
        <v>0</v>
      </c>
      <c r="AC5">
        <f t="shared" si="3"/>
        <v>0</v>
      </c>
      <c r="AD5">
        <f t="shared" si="4"/>
        <v>1</v>
      </c>
    </row>
    <row r="6" spans="1:30" x14ac:dyDescent="0.15">
      <c r="A6" s="1">
        <v>43466</v>
      </c>
      <c r="B6" s="2">
        <v>0.65517000000000003</v>
      </c>
      <c r="C6" s="2">
        <v>0.16594999999999999</v>
      </c>
      <c r="D6" s="2">
        <v>0.97075</v>
      </c>
      <c r="E6" s="2">
        <v>0.34611999999999998</v>
      </c>
      <c r="F6" s="2">
        <v>-15.78947</v>
      </c>
      <c r="G6" s="2">
        <v>3.8666666666666667</v>
      </c>
      <c r="H6" s="2">
        <v>-0.47505999999999998</v>
      </c>
      <c r="I6" s="8">
        <v>607.97500000000002</v>
      </c>
      <c r="J6">
        <v>1.6562379161294154E-2</v>
      </c>
      <c r="K6">
        <v>1.8736988560674853E-2</v>
      </c>
      <c r="L6">
        <f t="shared" si="0"/>
        <v>-2.1746093993806996E-3</v>
      </c>
      <c r="M6">
        <v>0.93981869985141309</v>
      </c>
      <c r="N6" s="2">
        <v>0.66715999999999998</v>
      </c>
      <c r="O6">
        <v>0.27298695677910106</v>
      </c>
      <c r="P6">
        <v>31.603538264535803</v>
      </c>
      <c r="Q6">
        <f t="shared" si="5"/>
        <v>2.0603160251903462E-2</v>
      </c>
      <c r="R6">
        <v>20.770322343407255</v>
      </c>
      <c r="S6">
        <f t="shared" si="6"/>
        <v>-9.1644901445100402E-2</v>
      </c>
      <c r="T6">
        <v>44.711117298300678</v>
      </c>
      <c r="U6">
        <f t="shared" si="7"/>
        <v>1.331102941003685E-2</v>
      </c>
      <c r="V6">
        <v>29.329175151899477</v>
      </c>
      <c r="W6">
        <f t="shared" si="8"/>
        <v>5.0814432706821663E-2</v>
      </c>
      <c r="X6">
        <v>-0.13179672832209643</v>
      </c>
      <c r="Y6">
        <v>-8.1441661696981971E-2</v>
      </c>
      <c r="Z6">
        <v>-1.7820800000000001</v>
      </c>
      <c r="AA6">
        <f t="shared" si="1"/>
        <v>1</v>
      </c>
      <c r="AB6">
        <f t="shared" si="2"/>
        <v>0</v>
      </c>
      <c r="AC6">
        <f t="shared" si="3"/>
        <v>0</v>
      </c>
      <c r="AD6">
        <f t="shared" si="4"/>
        <v>0</v>
      </c>
    </row>
    <row r="7" spans="1:30" x14ac:dyDescent="0.15">
      <c r="A7" s="1">
        <v>43556</v>
      </c>
      <c r="B7" s="2">
        <v>0.43828</v>
      </c>
      <c r="C7" s="2">
        <v>-0.48365000000000002</v>
      </c>
      <c r="D7" s="2">
        <v>0.32656000000000002</v>
      </c>
      <c r="E7" s="2">
        <v>1.33423</v>
      </c>
      <c r="F7" s="2">
        <v>12.5</v>
      </c>
      <c r="G7" s="2">
        <v>3.6333333333333333</v>
      </c>
      <c r="H7" s="2">
        <v>0.60992000000000002</v>
      </c>
      <c r="I7" s="8">
        <v>653.44200000000001</v>
      </c>
      <c r="J7">
        <v>1.9438868748743437E-2</v>
      </c>
      <c r="K7">
        <v>1.7290286863258526E-2</v>
      </c>
      <c r="L7">
        <f t="shared" si="0"/>
        <v>2.1485818854849112E-3</v>
      </c>
      <c r="M7">
        <v>0.77494058535693722</v>
      </c>
      <c r="N7" s="2">
        <v>0.66274</v>
      </c>
      <c r="O7">
        <v>-0.36317881925899315</v>
      </c>
      <c r="P7">
        <v>30.536548045669949</v>
      </c>
      <c r="Q7">
        <f t="shared" si="5"/>
        <v>-3.3761732940617815E-2</v>
      </c>
      <c r="R7">
        <v>20.486283320147521</v>
      </c>
      <c r="S7">
        <f t="shared" si="6"/>
        <v>-0.28403902325973363</v>
      </c>
      <c r="T7">
        <v>43.629878004430772</v>
      </c>
      <c r="U7">
        <f t="shared" si="7"/>
        <v>-2.4182784041297051E-2</v>
      </c>
      <c r="V7">
        <v>27.493482812431562</v>
      </c>
      <c r="W7">
        <f t="shared" si="8"/>
        <v>-6.258929308310357E-2</v>
      </c>
      <c r="X7">
        <v>-8.1004695163624296E-2</v>
      </c>
      <c r="Y7">
        <v>-0.78148116567263859</v>
      </c>
      <c r="Z7">
        <v>-0.36427999999999994</v>
      </c>
      <c r="AA7">
        <f t="shared" si="1"/>
        <v>0</v>
      </c>
      <c r="AB7">
        <f t="shared" si="2"/>
        <v>1</v>
      </c>
      <c r="AC7">
        <f t="shared" si="3"/>
        <v>0</v>
      </c>
      <c r="AD7">
        <f t="shared" si="4"/>
        <v>0</v>
      </c>
    </row>
    <row r="8" spans="1:30" x14ac:dyDescent="0.15">
      <c r="A8" s="1">
        <v>43647</v>
      </c>
      <c r="B8" s="2">
        <v>0.58352000000000004</v>
      </c>
      <c r="C8" s="2">
        <v>-0.29887000000000002</v>
      </c>
      <c r="D8" s="2">
        <v>0.22549</v>
      </c>
      <c r="E8" s="2">
        <v>1.2620199999999999</v>
      </c>
      <c r="F8" s="2">
        <v>-16.66667</v>
      </c>
      <c r="G8" s="2">
        <v>3.6</v>
      </c>
      <c r="H8" s="2">
        <v>-1.0279400000000001</v>
      </c>
      <c r="I8" s="8">
        <v>718.75599999999997</v>
      </c>
      <c r="J8">
        <v>1.7023068543265605E-2</v>
      </c>
      <c r="K8">
        <v>1.6318809216905407E-2</v>
      </c>
      <c r="L8">
        <f t="shared" si="0"/>
        <v>7.0425932636019803E-4</v>
      </c>
      <c r="M8">
        <v>0.82496613633492188</v>
      </c>
      <c r="N8" s="2">
        <v>0.87783</v>
      </c>
      <c r="O8">
        <v>-0.20359716023393981</v>
      </c>
      <c r="P8">
        <v>30.32317525290286</v>
      </c>
      <c r="Q8">
        <f t="shared" si="5"/>
        <v>-6.9874562261579868E-3</v>
      </c>
      <c r="R8">
        <v>21.087226346714477</v>
      </c>
      <c r="S8">
        <f t="shared" si="6"/>
        <v>0.60094302656695575</v>
      </c>
      <c r="T8">
        <v>42.078072129206539</v>
      </c>
      <c r="U8">
        <f t="shared" si="7"/>
        <v>-3.5567504338807482E-2</v>
      </c>
      <c r="V8">
        <v>27.804227282787561</v>
      </c>
      <c r="W8">
        <f t="shared" si="8"/>
        <v>1.1302477480790165E-2</v>
      </c>
      <c r="X8">
        <v>-1.1538015364756404E-2</v>
      </c>
      <c r="Y8">
        <v>-0.65620304817090003</v>
      </c>
      <c r="Z8">
        <v>-1.00186</v>
      </c>
      <c r="AA8">
        <f t="shared" si="1"/>
        <v>0</v>
      </c>
      <c r="AB8">
        <f t="shared" si="2"/>
        <v>0</v>
      </c>
      <c r="AC8">
        <f t="shared" si="3"/>
        <v>1</v>
      </c>
      <c r="AD8">
        <f t="shared" si="4"/>
        <v>0</v>
      </c>
    </row>
    <row r="9" spans="1:30" x14ac:dyDescent="0.15">
      <c r="A9" s="1">
        <v>43739</v>
      </c>
      <c r="B9" s="2">
        <v>0.63078999999999996</v>
      </c>
      <c r="C9" s="2">
        <v>0.16647999999999999</v>
      </c>
      <c r="D9" s="2">
        <v>0.42481999999999998</v>
      </c>
      <c r="E9" s="2">
        <v>1.0350600000000001</v>
      </c>
      <c r="F9" s="2">
        <v>-13.33333</v>
      </c>
      <c r="G9" s="2">
        <v>3.6</v>
      </c>
      <c r="H9" s="2">
        <v>-0.34621000000000002</v>
      </c>
      <c r="I9" s="8">
        <v>778.73699999999997</v>
      </c>
      <c r="J9">
        <v>1.7085620147393187E-2</v>
      </c>
      <c r="K9">
        <v>1.6786218533114076E-2</v>
      </c>
      <c r="L9">
        <f t="shared" si="0"/>
        <v>2.9940161427911144E-4</v>
      </c>
      <c r="M9">
        <v>0.82617495856904666</v>
      </c>
      <c r="N9" s="2">
        <v>0.72516000000000003</v>
      </c>
      <c r="O9">
        <v>9.1666560709322553E-2</v>
      </c>
      <c r="P9">
        <v>30.684457739010085</v>
      </c>
      <c r="Q9">
        <f t="shared" si="5"/>
        <v>1.1914401545815653E-2</v>
      </c>
      <c r="R9">
        <v>21.624188471705974</v>
      </c>
      <c r="S9">
        <f t="shared" si="6"/>
        <v>0.53696212499149709</v>
      </c>
      <c r="T9">
        <v>42.805830589850899</v>
      </c>
      <c r="U9">
        <f t="shared" si="7"/>
        <v>1.7295432604651578E-2</v>
      </c>
      <c r="V9">
        <v>27.623354155473379</v>
      </c>
      <c r="W9">
        <f t="shared" si="8"/>
        <v>-6.5052384112164619E-3</v>
      </c>
      <c r="X9">
        <v>1.1431785216313717E-2</v>
      </c>
      <c r="Y9">
        <v>-0.36731546658960973</v>
      </c>
      <c r="Z9">
        <v>0.82750000000000001</v>
      </c>
      <c r="AA9">
        <f t="shared" si="1"/>
        <v>0</v>
      </c>
      <c r="AB9">
        <f t="shared" si="2"/>
        <v>0</v>
      </c>
      <c r="AC9">
        <f t="shared" si="3"/>
        <v>0</v>
      </c>
      <c r="AD9">
        <f t="shared" si="4"/>
        <v>1</v>
      </c>
    </row>
    <row r="10" spans="1:30" x14ac:dyDescent="0.15">
      <c r="A10" s="1">
        <v>43831</v>
      </c>
      <c r="B10" s="2">
        <v>0.58126999999999995</v>
      </c>
      <c r="C10" s="2">
        <v>0.24792</v>
      </c>
      <c r="D10" s="2">
        <v>0.86260000000000003</v>
      </c>
      <c r="E10" s="2">
        <v>-1.32829</v>
      </c>
      <c r="F10" s="2">
        <v>30.76923</v>
      </c>
      <c r="G10" s="2">
        <v>3.8333333333333335</v>
      </c>
      <c r="H10" s="2">
        <v>-0.90861000000000003</v>
      </c>
      <c r="I10" s="8">
        <v>323.20400000000001</v>
      </c>
      <c r="J10">
        <v>1.4767156328715466E-2</v>
      </c>
      <c r="K10">
        <v>1.5411520487295867E-2</v>
      </c>
      <c r="L10">
        <f t="shared" si="0"/>
        <v>-6.4436415858040025E-4</v>
      </c>
      <c r="M10">
        <v>1.0455574273615973</v>
      </c>
      <c r="N10" s="2">
        <v>1.0079199999999999</v>
      </c>
      <c r="O10">
        <v>1.2857818495373368</v>
      </c>
      <c r="P10">
        <v>30.941394205325135</v>
      </c>
      <c r="Q10">
        <f t="shared" si="5"/>
        <v>8.3735051960328113E-3</v>
      </c>
      <c r="R10">
        <v>21.076679826358518</v>
      </c>
      <c r="S10">
        <f t="shared" si="6"/>
        <v>-0.54750864534745602</v>
      </c>
      <c r="T10">
        <v>43.69699340787966</v>
      </c>
      <c r="U10">
        <f t="shared" si="7"/>
        <v>2.0818725060320453E-2</v>
      </c>
      <c r="V10">
        <v>28.050509381737228</v>
      </c>
      <c r="W10">
        <f t="shared" si="8"/>
        <v>1.5463553913825178E-2</v>
      </c>
      <c r="X10">
        <v>0.10573872751018421</v>
      </c>
      <c r="Y10">
        <v>1.0127948927582358</v>
      </c>
      <c r="Z10">
        <v>-0.43355000000000005</v>
      </c>
      <c r="AA10">
        <f t="shared" si="1"/>
        <v>1</v>
      </c>
      <c r="AB10">
        <f t="shared" si="2"/>
        <v>0</v>
      </c>
      <c r="AC10">
        <f t="shared" si="3"/>
        <v>0</v>
      </c>
      <c r="AD10">
        <f t="shared" si="4"/>
        <v>0</v>
      </c>
    </row>
    <row r="11" spans="1:30" x14ac:dyDescent="0.15">
      <c r="A11" s="1">
        <v>43922</v>
      </c>
      <c r="B11" s="2">
        <v>-0.50826000000000005</v>
      </c>
      <c r="C11" s="2">
        <v>-0.13486000000000001</v>
      </c>
      <c r="D11" s="2">
        <v>2.4597699999999998</v>
      </c>
      <c r="E11" s="2">
        <v>-9.0111799999999995</v>
      </c>
      <c r="F11" s="2">
        <v>-147.05882</v>
      </c>
      <c r="G11" s="2">
        <v>13</v>
      </c>
      <c r="H11" s="2">
        <v>-3.5059300000000002</v>
      </c>
      <c r="I11" s="8">
        <v>-1613.124</v>
      </c>
      <c r="J11">
        <v>8.1204360100080959E-4</v>
      </c>
      <c r="K11">
        <v>1.1841864133791173E-2</v>
      </c>
      <c r="L11">
        <f t="shared" si="0"/>
        <v>-1.1029820532790363E-2</v>
      </c>
      <c r="M11">
        <v>3.7231597814697923</v>
      </c>
      <c r="N11" s="2">
        <v>0.35637999999999997</v>
      </c>
      <c r="O11">
        <v>2.6539302271590191</v>
      </c>
      <c r="P11">
        <v>30.136573596202584</v>
      </c>
      <c r="Q11">
        <f t="shared" si="5"/>
        <v>-2.6011129420407248E-2</v>
      </c>
      <c r="R11">
        <v>22.893568605420445</v>
      </c>
      <c r="S11">
        <f t="shared" si="6"/>
        <v>1.8168887790619266</v>
      </c>
      <c r="T11">
        <v>40.699691312627436</v>
      </c>
      <c r="U11">
        <f t="shared" si="7"/>
        <v>-6.8592867872500699E-2</v>
      </c>
      <c r="V11">
        <v>26.816460870559876</v>
      </c>
      <c r="W11">
        <f t="shared" si="8"/>
        <v>-4.3993800411367974E-2</v>
      </c>
      <c r="X11">
        <v>2.9482191961128552</v>
      </c>
      <c r="Y11">
        <v>3.0171090464180121</v>
      </c>
      <c r="Z11">
        <v>-4.11585</v>
      </c>
      <c r="AA11">
        <f t="shared" si="1"/>
        <v>0</v>
      </c>
      <c r="AB11">
        <f t="shared" si="2"/>
        <v>1</v>
      </c>
      <c r="AC11">
        <f t="shared" si="3"/>
        <v>0</v>
      </c>
      <c r="AD11">
        <f t="shared" si="4"/>
        <v>0</v>
      </c>
    </row>
    <row r="12" spans="1:30" x14ac:dyDescent="0.15">
      <c r="A12" s="1">
        <v>44013</v>
      </c>
      <c r="B12" s="2">
        <v>0.94932000000000005</v>
      </c>
      <c r="C12" s="2">
        <v>0.19306000000000001</v>
      </c>
      <c r="D12" s="2">
        <v>0.26573000000000002</v>
      </c>
      <c r="E12" s="2">
        <v>9.7747700000000002</v>
      </c>
      <c r="F12" s="2">
        <v>-487.5</v>
      </c>
      <c r="G12" s="2">
        <v>8.8000000000000007</v>
      </c>
      <c r="H12" s="2">
        <v>3.0463900000000002</v>
      </c>
      <c r="I12" s="8">
        <v>-239.893</v>
      </c>
      <c r="J12">
        <v>1.6105125356818573E-2</v>
      </c>
      <c r="K12">
        <v>1.346285164707213E-2</v>
      </c>
      <c r="L12">
        <f t="shared" si="0"/>
        <v>2.6422737097464427E-3</v>
      </c>
      <c r="M12">
        <v>2.0908826118052661</v>
      </c>
      <c r="N12" s="2">
        <v>0.56818000000000002</v>
      </c>
      <c r="O12">
        <v>1.6582245166035097</v>
      </c>
      <c r="P12">
        <v>30.961791302845544</v>
      </c>
      <c r="Q12">
        <f t="shared" si="5"/>
        <v>2.7382598887981835E-2</v>
      </c>
      <c r="R12">
        <v>23.649886611149157</v>
      </c>
      <c r="S12">
        <f t="shared" si="6"/>
        <v>0.756318005728712</v>
      </c>
      <c r="T12">
        <v>41.046106029673787</v>
      </c>
      <c r="U12">
        <f t="shared" si="7"/>
        <v>8.5114826642154976E-3</v>
      </c>
      <c r="V12">
        <v>28.189381267713696</v>
      </c>
      <c r="W12">
        <f t="shared" si="8"/>
        <v>5.119692728211811E-2</v>
      </c>
      <c r="X12">
        <v>1.2659164754703442</v>
      </c>
      <c r="Y12">
        <v>1.8618216768374496</v>
      </c>
      <c r="Z12">
        <v>4.0743299999999998</v>
      </c>
      <c r="AA12">
        <f t="shared" si="1"/>
        <v>0</v>
      </c>
      <c r="AB12">
        <f t="shared" si="2"/>
        <v>0</v>
      </c>
      <c r="AC12">
        <f t="shared" si="3"/>
        <v>1</v>
      </c>
      <c r="AD12">
        <f t="shared" si="4"/>
        <v>0</v>
      </c>
    </row>
    <row r="13" spans="1:30" x14ac:dyDescent="0.15">
      <c r="A13" s="1">
        <v>44105</v>
      </c>
      <c r="B13" s="2">
        <v>0.61192999999999997</v>
      </c>
      <c r="C13" s="2">
        <v>1.68923</v>
      </c>
      <c r="D13" s="2">
        <v>0.22488</v>
      </c>
      <c r="E13" s="2">
        <v>1.8714</v>
      </c>
      <c r="F13" s="2">
        <v>-41.935479999999998</v>
      </c>
      <c r="G13" s="2">
        <v>6.7333333333333334</v>
      </c>
      <c r="H13" s="2">
        <v>0.70518000000000003</v>
      </c>
      <c r="I13" s="8">
        <v>-66.191000000000003</v>
      </c>
      <c r="J13">
        <v>1.4888628113434993E-2</v>
      </c>
      <c r="K13">
        <v>1.3771135836880556E-2</v>
      </c>
      <c r="L13">
        <f t="shared" si="0"/>
        <v>1.1174922765544368E-3</v>
      </c>
      <c r="M13">
        <v>1.5850844942255338</v>
      </c>
      <c r="N13" s="2">
        <v>0.84745999999999999</v>
      </c>
      <c r="O13">
        <v>0.82755771451766058</v>
      </c>
      <c r="P13">
        <v>31.287494646812377</v>
      </c>
      <c r="Q13">
        <f t="shared" si="5"/>
        <v>1.0519525203856628E-2</v>
      </c>
      <c r="R13">
        <v>24.176319887897591</v>
      </c>
      <c r="S13">
        <f t="shared" si="6"/>
        <v>0.52643327674843476</v>
      </c>
      <c r="T13">
        <v>40.290061415103374</v>
      </c>
      <c r="U13">
        <f t="shared" si="7"/>
        <v>-1.8419399248831059E-2</v>
      </c>
      <c r="V13">
        <v>29.396102637436169</v>
      </c>
      <c r="W13">
        <f t="shared" si="8"/>
        <v>4.280765719056679E-2</v>
      </c>
      <c r="X13">
        <v>0.75890953565648711</v>
      </c>
      <c r="Y13">
        <v>0.73589115380833803</v>
      </c>
      <c r="Z13">
        <v>1.05139</v>
      </c>
      <c r="AA13">
        <f t="shared" si="1"/>
        <v>0</v>
      </c>
      <c r="AB13">
        <f t="shared" si="2"/>
        <v>0</v>
      </c>
      <c r="AC13">
        <f t="shared" si="3"/>
        <v>0</v>
      </c>
      <c r="AD13">
        <f t="shared" si="4"/>
        <v>1</v>
      </c>
    </row>
    <row r="14" spans="1:30" x14ac:dyDescent="0.15">
      <c r="A14" s="1">
        <v>44197</v>
      </c>
      <c r="B14" s="2">
        <v>0.38401999999999997</v>
      </c>
      <c r="C14" s="2">
        <v>1.2710900000000001</v>
      </c>
      <c r="D14" s="2">
        <v>0.64197000000000004</v>
      </c>
      <c r="E14" s="2">
        <v>3.3340800000000002</v>
      </c>
      <c r="F14" s="2">
        <v>100</v>
      </c>
      <c r="G14" s="2">
        <v>6.2333333333333334</v>
      </c>
      <c r="H14" s="2">
        <v>3.5281400000000001</v>
      </c>
      <c r="I14" s="8">
        <v>755.12800000000004</v>
      </c>
      <c r="J14">
        <v>1.54513912491213E-2</v>
      </c>
      <c r="K14">
        <v>1.4348011419799916E-2</v>
      </c>
      <c r="L14">
        <f t="shared" si="0"/>
        <v>1.103379829321384E-3</v>
      </c>
      <c r="M14">
        <v>1.3718374667935642</v>
      </c>
      <c r="N14" s="2">
        <v>1.19048</v>
      </c>
      <c r="O14">
        <v>1.811035695277539</v>
      </c>
      <c r="P14">
        <v>32.339079915867465</v>
      </c>
      <c r="Q14">
        <f t="shared" si="5"/>
        <v>3.3610401885029999E-2</v>
      </c>
      <c r="R14">
        <v>24.977065596090426</v>
      </c>
      <c r="S14">
        <f t="shared" si="6"/>
        <v>0.80074570819283508</v>
      </c>
      <c r="T14">
        <v>40.765340378391762</v>
      </c>
      <c r="U14">
        <f t="shared" si="7"/>
        <v>1.1796431839397072E-2</v>
      </c>
      <c r="V14">
        <v>31.274833773120204</v>
      </c>
      <c r="W14">
        <f t="shared" si="8"/>
        <v>6.3910891823171681E-2</v>
      </c>
      <c r="X14">
        <v>0.32628003943196693</v>
      </c>
      <c r="Y14">
        <v>0.52525384574020229</v>
      </c>
      <c r="Z14">
        <v>4.43675</v>
      </c>
      <c r="AA14">
        <f t="shared" si="1"/>
        <v>1</v>
      </c>
      <c r="AB14">
        <f t="shared" si="2"/>
        <v>0</v>
      </c>
      <c r="AC14">
        <f t="shared" si="3"/>
        <v>0</v>
      </c>
      <c r="AD14">
        <f t="shared" si="4"/>
        <v>0</v>
      </c>
    </row>
    <row r="15" spans="1:30" x14ac:dyDescent="0.15">
      <c r="A15" s="1">
        <v>44287</v>
      </c>
      <c r="B15" s="2">
        <v>1.7285699999999999</v>
      </c>
      <c r="C15" s="2">
        <v>2.8496999999999999</v>
      </c>
      <c r="D15" s="2">
        <v>1.15402</v>
      </c>
      <c r="E15" s="2">
        <v>4.81785</v>
      </c>
      <c r="F15" s="2">
        <v>66.666669999999996</v>
      </c>
      <c r="G15" s="2">
        <v>5.9333333333333336</v>
      </c>
      <c r="H15" s="2">
        <v>3.5640000000000001</v>
      </c>
      <c r="I15" s="8">
        <v>3024.46</v>
      </c>
      <c r="J15">
        <v>1.8927044291403211E-2</v>
      </c>
      <c r="K15">
        <v>1.5859295327069086E-2</v>
      </c>
      <c r="L15">
        <f t="shared" si="0"/>
        <v>3.0677489643341251E-3</v>
      </c>
      <c r="M15">
        <v>0.94221207801626894</v>
      </c>
      <c r="N15" s="2">
        <v>0.83045000000000002</v>
      </c>
      <c r="O15">
        <v>2.8255212317073366</v>
      </c>
      <c r="P15">
        <v>31.496466010926472</v>
      </c>
      <c r="Q15">
        <f t="shared" si="5"/>
        <v>-2.6055593020367813E-2</v>
      </c>
      <c r="R15">
        <v>22.562558030848848</v>
      </c>
      <c r="S15">
        <f t="shared" si="6"/>
        <v>-2.4145075652415784</v>
      </c>
      <c r="T15">
        <v>40.246730031602404</v>
      </c>
      <c r="U15">
        <f t="shared" si="7"/>
        <v>-1.2721845125675816E-2</v>
      </c>
      <c r="V15">
        <v>31.680109970328164</v>
      </c>
      <c r="W15">
        <f t="shared" si="8"/>
        <v>1.2958540408175847E-2</v>
      </c>
      <c r="X15">
        <v>-2.7809477034535233</v>
      </c>
      <c r="Y15">
        <v>0.17159100454831755</v>
      </c>
      <c r="Z15">
        <v>7.0699300000000003</v>
      </c>
      <c r="AA15">
        <f t="shared" si="1"/>
        <v>0</v>
      </c>
      <c r="AB15">
        <f t="shared" si="2"/>
        <v>1</v>
      </c>
      <c r="AC15">
        <f t="shared" si="3"/>
        <v>0</v>
      </c>
      <c r="AD15">
        <f t="shared" si="4"/>
        <v>0</v>
      </c>
    </row>
    <row r="16" spans="1:30" x14ac:dyDescent="0.15">
      <c r="A16" s="1">
        <v>44378</v>
      </c>
      <c r="B16" s="2">
        <v>1.2786299999999999</v>
      </c>
      <c r="C16" s="2">
        <v>2.19068</v>
      </c>
      <c r="D16" s="2">
        <v>1.8530500000000001</v>
      </c>
      <c r="E16" s="2">
        <v>2.0953900000000001</v>
      </c>
      <c r="F16" s="2">
        <v>-20</v>
      </c>
      <c r="G16" s="2">
        <v>5.0666666666666664</v>
      </c>
      <c r="H16" s="2">
        <v>1.4318</v>
      </c>
      <c r="I16" s="8">
        <v>1835.8789999999999</v>
      </c>
      <c r="J16">
        <v>2.4065552763272043E-2</v>
      </c>
      <c r="K16">
        <v>1.6159198641212531E-2</v>
      </c>
      <c r="L16">
        <f t="shared" si="0"/>
        <v>7.9063541220595127E-3</v>
      </c>
      <c r="M16">
        <v>0.73965318456786411</v>
      </c>
      <c r="N16" s="2">
        <v>1.5785899999999999</v>
      </c>
      <c r="O16">
        <v>3.1617044536967733</v>
      </c>
      <c r="P16">
        <v>32.007664219389277</v>
      </c>
      <c r="Q16">
        <f t="shared" si="5"/>
        <v>1.6230335437806397E-2</v>
      </c>
      <c r="R16">
        <v>22.704289063630501</v>
      </c>
      <c r="S16">
        <f t="shared" si="6"/>
        <v>0.141731032781653</v>
      </c>
      <c r="T16">
        <v>40.953316632035005</v>
      </c>
      <c r="U16">
        <f t="shared" si="7"/>
        <v>1.7556372899805214E-2</v>
      </c>
      <c r="V16">
        <v>32.365386962502321</v>
      </c>
      <c r="W16">
        <f t="shared" si="8"/>
        <v>2.163114309943974E-2</v>
      </c>
      <c r="X16">
        <v>-1.3512294272374019</v>
      </c>
      <c r="Y16">
        <v>1.5034799370932637</v>
      </c>
      <c r="Z16">
        <v>-1.6145900000000002</v>
      </c>
      <c r="AA16">
        <f t="shared" si="1"/>
        <v>0</v>
      </c>
      <c r="AB16">
        <f t="shared" si="2"/>
        <v>0</v>
      </c>
      <c r="AC16">
        <f t="shared" si="3"/>
        <v>1</v>
      </c>
      <c r="AD16">
        <f t="shared" si="4"/>
        <v>0</v>
      </c>
    </row>
    <row r="17" spans="1:30" x14ac:dyDescent="0.15">
      <c r="A17" s="1">
        <v>44470</v>
      </c>
      <c r="B17" s="2">
        <v>1.5432699999999999</v>
      </c>
      <c r="C17" s="2">
        <v>3.92489</v>
      </c>
      <c r="D17" s="2">
        <v>2.1352699999999998</v>
      </c>
      <c r="E17" s="2">
        <v>2.6594899999999999</v>
      </c>
      <c r="F17" s="2">
        <v>8.3333300000000001</v>
      </c>
      <c r="G17" s="2">
        <v>4.166666666666667</v>
      </c>
      <c r="H17" s="2">
        <v>2.0802399999999999</v>
      </c>
      <c r="I17" s="8">
        <v>2293.5189999999998</v>
      </c>
      <c r="J17">
        <v>2.3181722208964032E-2</v>
      </c>
      <c r="K17">
        <v>1.7100703537761167E-2</v>
      </c>
      <c r="L17">
        <f t="shared" si="0"/>
        <v>6.0810186712028647E-3</v>
      </c>
      <c r="M17">
        <v>0.57537077577912032</v>
      </c>
      <c r="N17" s="2">
        <v>1.2837799999999999</v>
      </c>
      <c r="O17">
        <v>4.1548367845804863</v>
      </c>
      <c r="P17">
        <v>32.340988723136803</v>
      </c>
      <c r="Q17">
        <f t="shared" si="5"/>
        <v>1.041389654249149E-2</v>
      </c>
      <c r="R17">
        <v>23.292650133155337</v>
      </c>
      <c r="S17">
        <f t="shared" si="6"/>
        <v>0.58836106952483647</v>
      </c>
      <c r="T17">
        <v>41.145493752861235</v>
      </c>
      <c r="U17">
        <f t="shared" si="7"/>
        <v>4.6925899201995967E-3</v>
      </c>
      <c r="V17">
        <v>32.584822283393841</v>
      </c>
      <c r="W17">
        <f t="shared" si="8"/>
        <v>6.7799381217271476E-3</v>
      </c>
      <c r="X17">
        <v>-1.0097137184464136</v>
      </c>
      <c r="Y17">
        <v>3.3272790700628256</v>
      </c>
      <c r="Z17">
        <v>1.3750599999999999</v>
      </c>
      <c r="AA17">
        <f t="shared" si="1"/>
        <v>0</v>
      </c>
      <c r="AB17">
        <f t="shared" si="2"/>
        <v>0</v>
      </c>
      <c r="AC17">
        <f t="shared" si="3"/>
        <v>0</v>
      </c>
      <c r="AD17">
        <f t="shared" si="4"/>
        <v>1</v>
      </c>
    </row>
    <row r="18" spans="1:30" x14ac:dyDescent="0.15">
      <c r="A18" s="1">
        <v>44562</v>
      </c>
      <c r="B18" s="2">
        <v>1.63507</v>
      </c>
      <c r="C18" s="2">
        <v>3.3879600000000001</v>
      </c>
      <c r="D18" s="2">
        <v>2.5232399999999999</v>
      </c>
      <c r="E18" s="2">
        <v>1.8688199999999999</v>
      </c>
      <c r="F18" s="2">
        <v>15.38462</v>
      </c>
      <c r="G18" s="2">
        <v>3.8</v>
      </c>
      <c r="H18" s="2">
        <v>4.1969900000000004</v>
      </c>
      <c r="I18" s="8">
        <v>2034.5830000000001</v>
      </c>
      <c r="J18">
        <v>2.6422920475067876E-2</v>
      </c>
      <c r="K18">
        <v>1.8883005304965849E-2</v>
      </c>
      <c r="L18">
        <f t="shared" si="0"/>
        <v>7.5399151701020274E-3</v>
      </c>
      <c r="M18">
        <v>0.58504816060715004</v>
      </c>
      <c r="N18" s="2">
        <v>1.2675099999999999</v>
      </c>
      <c r="O18">
        <v>3.0706438356140286</v>
      </c>
      <c r="P18">
        <v>34.168997875420381</v>
      </c>
      <c r="Q18">
        <f t="shared" si="5"/>
        <v>5.652298289123784E-2</v>
      </c>
      <c r="R18">
        <v>26.13598479964838</v>
      </c>
      <c r="S18">
        <f t="shared" si="6"/>
        <v>2.8433346664930426</v>
      </c>
      <c r="T18">
        <v>41.333277854379553</v>
      </c>
      <c r="U18">
        <f t="shared" si="7"/>
        <v>4.5639044374150822E-3</v>
      </c>
      <c r="V18">
        <v>35.037730972233206</v>
      </c>
      <c r="W18">
        <f t="shared" si="8"/>
        <v>7.527764514122999E-2</v>
      </c>
      <c r="X18">
        <v>-0.78678930618641418</v>
      </c>
      <c r="Y18">
        <v>1.2596081403364896</v>
      </c>
      <c r="Z18">
        <v>0.66885000000000039</v>
      </c>
      <c r="AA18">
        <f t="shared" si="1"/>
        <v>1</v>
      </c>
      <c r="AB18">
        <f t="shared" si="2"/>
        <v>0</v>
      </c>
      <c r="AC18">
        <f t="shared" si="3"/>
        <v>0</v>
      </c>
      <c r="AD18">
        <f t="shared" si="4"/>
        <v>0</v>
      </c>
    </row>
    <row r="19" spans="1:30" x14ac:dyDescent="0.15">
      <c r="A19" s="1">
        <v>44652</v>
      </c>
      <c r="B19" s="2">
        <v>1.43727</v>
      </c>
      <c r="C19" s="2">
        <v>6.2577999999999996</v>
      </c>
      <c r="D19" s="2">
        <v>3.1306099999999999</v>
      </c>
      <c r="E19" s="2">
        <v>2.2574999999999998</v>
      </c>
      <c r="F19" s="2">
        <v>-21.66667</v>
      </c>
      <c r="G19" s="2">
        <v>3.6333333333333333</v>
      </c>
      <c r="H19" s="2">
        <v>3.42258</v>
      </c>
      <c r="I19" s="8">
        <v>1864.548</v>
      </c>
      <c r="J19">
        <v>3.7514248774649324E-2</v>
      </c>
      <c r="K19">
        <v>2.3276375193522075E-2</v>
      </c>
      <c r="L19">
        <f t="shared" si="0"/>
        <v>1.4237873581127249E-2</v>
      </c>
      <c r="M19">
        <v>0.50570745382851179</v>
      </c>
      <c r="N19" s="2">
        <v>1.4492799999999999</v>
      </c>
      <c r="O19">
        <v>2.8545511276962352</v>
      </c>
      <c r="P19">
        <v>34.098092000506206</v>
      </c>
      <c r="Q19">
        <f t="shared" si="5"/>
        <v>-2.0751523112470653E-3</v>
      </c>
      <c r="R19">
        <v>25.739796154062088</v>
      </c>
      <c r="S19">
        <f t="shared" si="6"/>
        <v>-0.39618864558629241</v>
      </c>
      <c r="T19">
        <v>40.788209801081187</v>
      </c>
      <c r="U19">
        <f t="shared" si="7"/>
        <v>-1.3187148021956637E-2</v>
      </c>
      <c r="V19">
        <v>35.766270046375354</v>
      </c>
      <c r="W19">
        <f t="shared" si="8"/>
        <v>2.0792986701093818E-2</v>
      </c>
      <c r="X19">
        <v>-0.43650462418775715</v>
      </c>
      <c r="Y19">
        <v>2.9029895988898602E-2</v>
      </c>
      <c r="Z19">
        <v>-0.1414200000000001</v>
      </c>
      <c r="AA19">
        <f t="shared" si="1"/>
        <v>0</v>
      </c>
      <c r="AB19">
        <f t="shared" si="2"/>
        <v>1</v>
      </c>
      <c r="AC19">
        <f t="shared" si="3"/>
        <v>0</v>
      </c>
      <c r="AD19">
        <f t="shared" si="4"/>
        <v>0</v>
      </c>
    </row>
    <row r="20" spans="1:30" x14ac:dyDescent="0.15">
      <c r="B20" s="2"/>
      <c r="C20" s="2"/>
      <c r="D20" s="2"/>
      <c r="E20" s="2"/>
      <c r="F20" s="2"/>
      <c r="G20" s="2"/>
      <c r="H20" s="2"/>
      <c r="N20" s="2"/>
    </row>
    <row r="21" spans="1:30" x14ac:dyDescent="0.15">
      <c r="B21" s="2"/>
      <c r="C21" s="2"/>
      <c r="D21" s="2"/>
      <c r="E21" s="2"/>
      <c r="F21" s="2"/>
      <c r="G21" s="2"/>
      <c r="H21" s="2"/>
      <c r="N21" s="2"/>
    </row>
    <row r="22" spans="1:30" x14ac:dyDescent="0.15">
      <c r="B22" s="2"/>
      <c r="C22" s="2"/>
      <c r="D22" s="2"/>
      <c r="E22" s="2"/>
      <c r="F22" s="2"/>
      <c r="G22" s="2"/>
      <c r="H22" s="2"/>
      <c r="N22" s="2"/>
    </row>
    <row r="23" spans="1:30" x14ac:dyDescent="0.15">
      <c r="B23" s="2"/>
      <c r="C23" s="2"/>
      <c r="D23" s="2"/>
      <c r="E23" s="2"/>
      <c r="F23" s="2"/>
      <c r="G23" s="2"/>
      <c r="H23" s="2"/>
      <c r="N23" s="2"/>
    </row>
    <row r="24" spans="1:30" x14ac:dyDescent="0.15">
      <c r="B24" s="2"/>
      <c r="C24" s="2"/>
      <c r="D24" s="2"/>
      <c r="E24" s="2"/>
      <c r="F24" s="2"/>
      <c r="G24" s="2"/>
      <c r="H24" s="2"/>
      <c r="N24" s="2"/>
    </row>
    <row r="25" spans="1:30" x14ac:dyDescent="0.15">
      <c r="B25" s="2"/>
      <c r="C25" s="2"/>
      <c r="D25" s="2"/>
      <c r="E25" s="2"/>
      <c r="F25" s="2"/>
      <c r="G25" s="2"/>
      <c r="H25" s="2"/>
      <c r="N25" s="2"/>
    </row>
  </sheetData>
  <hyperlinks>
    <hyperlink ref="N1" r:id="rId1" display="Employment Cost Index" xr:uid="{8BFE8972-F39A-41A3-A419-99EEF3981030}"/>
    <hyperlink ref="B1" r:id="rId2" display="CPI, quarterly, annualized" xr:uid="{3DCD4EC7-8550-4275-B886-FC3E633B7332}"/>
    <hyperlink ref="C1" r:id="rId3" xr:uid="{3CF89C59-5431-4D6F-87F1-8EEFC38571B7}"/>
    <hyperlink ref="D1" r:id="rId4" location="0" xr:uid="{B2F13383-3758-4FDF-9B2B-E6FE692522CF}"/>
    <hyperlink ref="J1" r:id="rId5" xr:uid="{CB0F9C48-2B65-4ECA-B8D7-0987943CC67C}"/>
    <hyperlink ref="K1" r:id="rId6" xr:uid="{8F234811-A10E-4B8B-97C4-06715DF3D4A3}"/>
    <hyperlink ref="E1" r:id="rId7" xr:uid="{EA877526-74E1-4E81-A644-A763E2BFFFFD}"/>
    <hyperlink ref="F1" r:id="rId8" location="0" xr:uid="{D48500BB-5C85-4786-979C-82EDDB4A6C64}"/>
    <hyperlink ref="H1" r:id="rId9" location="0" xr:uid="{340FDD08-7E62-42B6-A663-EBA8C6B5AD27}"/>
    <hyperlink ref="I1" r:id="rId10" xr:uid="{B3A9A252-FA51-F842-8857-3A40F263F9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Quarterly data</vt:lpstr>
      <vt:lpstr>Code Book</vt:lpstr>
      <vt:lpstr>M1</vt:lpstr>
      <vt:lpstr>M2</vt:lpstr>
      <vt:lpstr>M3</vt:lpstr>
      <vt:lpstr>Yellen</vt:lpstr>
      <vt:lpstr>Step 3</vt:lpstr>
      <vt:lpstr>'Code Book'!Print_Area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Ong, Matthew A</cp:lastModifiedBy>
  <dcterms:created xsi:type="dcterms:W3CDTF">2024-02-26T16:11:35Z</dcterms:created>
  <dcterms:modified xsi:type="dcterms:W3CDTF">2024-04-18T10:09:50Z</dcterms:modified>
</cp:coreProperties>
</file>